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краны" sheetId="2" state="visible" r:id="rId2"/>
    <sheet name="Переходы" sheetId="3" state="visible" r:id="rId3"/>
    <sheet name="Этапы связывания" sheetId="4" state="visible" r:id="rId4"/>
  </sheets>
  <definedNames>
    <definedName name="_xlnm._FilterDatabase" localSheetId="1" hidden="1">'Экраны'!$A$1:$H$32</definedName>
    <definedName name="_xlnm._FilterDatabase" localSheetId="2" hidden="1">'Переходы'!$A$1:$G$109</definedName>
    <definedName name="_xlnm._FilterDatabase" localSheetId="3" hidden="1">'Этапы связывания'!$A$1:$E$9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2622"/>
      <sz val="16"/>
    </font>
    <font>
      <name val="Arial"/>
      <color rgb="007A6B60"/>
      <sz val="10"/>
    </font>
    <font>
      <name val="Arial"/>
      <color rgb="002E2622"/>
      <sz val="11"/>
    </font>
    <font>
      <name val="Arial"/>
      <b val="1"/>
      <color rgb="002E2622"/>
      <sz val="10"/>
    </font>
  </fonts>
  <fills count="5">
    <fill>
      <patternFill/>
    </fill>
    <fill>
      <patternFill patternType="gray125"/>
    </fill>
    <fill>
      <patternFill patternType="solid">
        <fgColor rgb="00B08D57"/>
      </patternFill>
    </fill>
    <fill>
      <patternFill patternType="solid">
        <fgColor rgb="00F7F2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CCEB"/>
      </left>
      <right style="thin">
        <color rgb="00D5CCEB"/>
      </right>
      <top style="thin">
        <color rgb="00D5CCEB"/>
      </top>
      <bottom style="thin">
        <color rgb="00D5CC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Карта связей прототипа «Ноготочки»</t>
        </is>
      </c>
    </row>
    <row r="2">
      <c r="A2" s="2" t="inlineStr">
        <is>
          <t>Дата составления: 18.09.2026. Источник — план экранов и промпты для Claude Design, согласованные в работе над проектом.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</row>
    <row r="5">
      <c r="A5" s="4" t="inlineStr">
        <is>
          <t>Всего экранов в прототипе</t>
        </is>
      </c>
      <c r="B5" s="4">
        <f>COUNTA(Экраны!$A$2:$A$32)</f>
        <v/>
      </c>
    </row>
    <row r="6">
      <c r="A6" s="5" t="inlineStr">
        <is>
          <t>Экранов клиента и публичной части</t>
        </is>
      </c>
      <c r="B6" s="5">
        <f>COUNTIF(Экраны!$C$2:$C$32,"Гость")+COUNTIF(Экраны!$C$2:$C$32,"Гость / Клиент")+COUNTIF(Экраны!$C$2:$C$32,"Клиент")</f>
        <v/>
      </c>
    </row>
    <row r="7">
      <c r="A7" s="4" t="inlineStr">
        <is>
          <t>Экранов мастера</t>
        </is>
      </c>
      <c r="B7" s="4">
        <f>COUNTIF(Экраны!$C$2:$C$32,"Мастер")</f>
        <v/>
      </c>
    </row>
    <row r="8">
      <c r="A8" s="5" t="inlineStr">
        <is>
          <t>Экранов администратора</t>
        </is>
      </c>
      <c r="B8" s="5">
        <f>COUNTIF(Экраны!$C$2:$C$32,"Администратор")</f>
        <v/>
      </c>
    </row>
    <row r="9">
      <c r="A9" s="4" t="inlineStr">
        <is>
          <t>Всего переходов</t>
        </is>
      </c>
      <c r="B9" s="4">
        <f>COUNTA(Переходы!$A$2:$A$109)</f>
        <v/>
      </c>
    </row>
    <row r="10">
      <c r="A10" s="5" t="inlineStr">
        <is>
          <t>Основных переходов</t>
        </is>
      </c>
      <c r="B10" s="5">
        <f>COUNTIF(Переходы!$F$2:$F$109,"Основной")</f>
        <v/>
      </c>
    </row>
    <row r="11">
      <c r="A11" s="4" t="inlineStr">
        <is>
          <t>Переходов назад</t>
        </is>
      </c>
      <c r="B11" s="4">
        <f>COUNTIF(Переходы!$F$2:$F$109,"Возврат")</f>
        <v/>
      </c>
    </row>
    <row r="12">
      <c r="A12" s="5" t="inlineStr">
        <is>
          <t>Переходов по меню</t>
        </is>
      </c>
      <c r="B12" s="5">
        <f>COUNTIF(Переходы!$F$2:$F$109,"Меню")</f>
        <v/>
      </c>
    </row>
    <row r="13">
      <c r="A13" s="4" t="inlineStr">
        <is>
          <t>Переходов из состояний ошибок</t>
        </is>
      </c>
      <c r="B13" s="4">
        <f>COUNTIF(Переходы!$F$2:$F$109,"Ошибка")</f>
        <v/>
      </c>
    </row>
    <row r="14">
      <c r="A14" s="5" t="inlineStr">
        <is>
          <t>Экранов без входа (недостижимых)</t>
        </is>
      </c>
      <c r="B14" s="5">
        <f>COUNTIF(Экраны!$H$2:$H$32,"Нет входа — недостижимый экран")</f>
        <v/>
      </c>
    </row>
    <row r="15">
      <c r="A15" s="4" t="inlineStr">
        <is>
          <t>Экранов без выхода (тупиков)</t>
        </is>
      </c>
      <c r="B15" s="4">
        <f>COUNTIF(Экраны!$H$2:$H$32,"Нет выхода — тупик")</f>
        <v/>
      </c>
    </row>
    <row r="18">
      <c r="A18" s="6" t="inlineStr">
        <is>
          <t>Как читать файл:</t>
        </is>
      </c>
    </row>
    <row r="19">
      <c r="A19" s="7" t="inlineStr">
        <is>
          <t>• Лист «Экраны» — 31 экран прототипа. Столбцы «Входов» и «Выходов» считаются формулами по листу «Переходы», столбец «Проверка» сам помечает недостижимые экраны и тупики.</t>
        </is>
      </c>
    </row>
    <row r="20">
      <c r="A20" s="7" t="inlineStr">
        <is>
          <t>• Лист «Переходы» — все связи между экранами: откуда, куда, по какому действию и какого типа.</t>
        </is>
      </c>
    </row>
    <row r="21">
      <c r="A21" s="7" t="inlineStr">
        <is>
          <t>• Лист «Этапы связывания» — 8 этапов работы, столбец «Статус» заполняете вы по мере проверки.</t>
        </is>
      </c>
    </row>
    <row r="22">
      <c r="A22" s="7" t="inlineStr">
        <is>
          <t>• Добавили экран или связь — просто допишите строку: показатели на этом листе пересчитаются сами.</t>
        </is>
      </c>
    </row>
    <row r="23">
      <c r="A23" s="7" t="inlineStr">
        <is>
          <t>• Страница «Nogotochki Design System» в карту не входит: это гайд, а не экран.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38" customWidth="1" min="4" max="4"/>
    <col width="52" customWidth="1" min="5" max="5"/>
    <col width="9" customWidth="1" min="6" max="6"/>
    <col width="10" customWidth="1" min="7" max="7"/>
    <col width="30" customWidth="1" min="8" max="8"/>
  </cols>
  <sheetData>
    <row r="1" ht="30" customHeight="1">
      <c r="A1" s="8" t="inlineStr">
        <is>
          <t>ID</t>
        </is>
      </c>
      <c r="B1" s="8" t="inlineStr">
        <is>
          <t>Раздел</t>
        </is>
      </c>
      <c r="C1" s="8" t="inlineStr">
        <is>
          <t>Роль</t>
        </is>
      </c>
      <c r="D1" s="8" t="inlineStr">
        <is>
          <t>Название страницы в Claude Design</t>
        </is>
      </c>
      <c r="E1" s="8" t="inlineStr">
        <is>
          <t>Назначение экрана</t>
        </is>
      </c>
      <c r="F1" s="8" t="inlineStr">
        <is>
          <t>Входов</t>
        </is>
      </c>
      <c r="G1" s="8" t="inlineStr">
        <is>
          <t>Выходов</t>
        </is>
      </c>
      <c r="H1" s="8" t="inlineStr">
        <is>
          <t>Проверка</t>
        </is>
      </c>
    </row>
    <row r="2">
      <c r="A2" s="9" t="inlineStr">
        <is>
          <t>L1</t>
        </is>
      </c>
      <c r="B2" s="9" t="inlineStr">
        <is>
          <t>Публичная часть</t>
        </is>
      </c>
      <c r="C2" s="9" t="inlineStr">
        <is>
          <t>Гость</t>
        </is>
      </c>
      <c r="D2" s="9" t="inlineStr">
        <is>
          <t>Главная — лендинг</t>
        </is>
      </c>
      <c r="E2" s="9" t="inlineStr">
        <is>
          <t>Информация о студии, услугах и мастерах; вход в запись и в аккаунт</t>
        </is>
      </c>
      <c r="F2" s="9">
        <f>COUNTIF(Переходы!$C:$C,$A2)</f>
        <v/>
      </c>
      <c r="G2" s="9">
        <f>COUNTIF(Переходы!$A:$A,$A2)</f>
        <v/>
      </c>
      <c r="H2" s="9">
        <f>IF(F2=0,"Нет входа — недостижимый экран",IF(G2=0,"Нет выхода — тупик","OK"))</f>
        <v/>
      </c>
    </row>
    <row r="3">
      <c r="A3" s="10" t="inlineStr">
        <is>
          <t>C1</t>
        </is>
      </c>
      <c r="B3" s="10" t="inlineStr">
        <is>
          <t>Авторизация</t>
        </is>
      </c>
      <c r="C3" s="10" t="inlineStr">
        <is>
          <t>Гость</t>
        </is>
      </c>
      <c r="D3" s="10" t="inlineStr">
        <is>
          <t>Вход</t>
        </is>
      </c>
      <c r="E3" s="10" t="inlineStr">
        <is>
          <t>Вход клиента по e-mail и паролю</t>
        </is>
      </c>
      <c r="F3" s="10">
        <f>COUNTIF(Переходы!$C:$C,$A3)</f>
        <v/>
      </c>
      <c r="G3" s="10">
        <f>COUNTIF(Переходы!$A:$A,$A3)</f>
        <v/>
      </c>
      <c r="H3" s="10">
        <f>IF(F3=0,"Нет входа — недостижимый экран",IF(G3=0,"Нет выхода — тупик","OK"))</f>
        <v/>
      </c>
    </row>
    <row r="4">
      <c r="A4" s="9" t="inlineStr">
        <is>
          <t>C2</t>
        </is>
      </c>
      <c r="B4" s="9" t="inlineStr">
        <is>
          <t>Авторизация</t>
        </is>
      </c>
      <c r="C4" s="9" t="inlineStr">
        <is>
          <t>Гость</t>
        </is>
      </c>
      <c r="D4" s="9" t="inlineStr">
        <is>
          <t>Регистрация</t>
        </is>
      </c>
      <c r="E4" s="9" t="inlineStr">
        <is>
          <t>Создание аккаунта клиента</t>
        </is>
      </c>
      <c r="F4" s="9">
        <f>COUNTIF(Переходы!$C:$C,$A4)</f>
        <v/>
      </c>
      <c r="G4" s="9">
        <f>COUNTIF(Переходы!$A:$A,$A4)</f>
        <v/>
      </c>
      <c r="H4" s="9">
        <f>IF(F4=0,"Нет входа — недостижимый экран",IF(G4=0,"Нет выхода — тупик","OK"))</f>
        <v/>
      </c>
    </row>
    <row r="5">
      <c r="A5" s="10" t="inlineStr">
        <is>
          <t>C3</t>
        </is>
      </c>
      <c r="B5" s="10" t="inlineStr">
        <is>
          <t>Авторизация</t>
        </is>
      </c>
      <c r="C5" s="10" t="inlineStr">
        <is>
          <t>Гость</t>
        </is>
      </c>
      <c r="D5" s="10" t="inlineStr">
        <is>
          <t>Восстановление пароля — запрос</t>
        </is>
      </c>
      <c r="E5" s="10" t="inlineStr">
        <is>
          <t>Отправка ссылки для смены пароля</t>
        </is>
      </c>
      <c r="F5" s="10">
        <f>COUNTIF(Переходы!$C:$C,$A5)</f>
        <v/>
      </c>
      <c r="G5" s="10">
        <f>COUNTIF(Переходы!$A:$A,$A5)</f>
        <v/>
      </c>
      <c r="H5" s="10">
        <f>IF(F5=0,"Нет входа — недостижимый экран",IF(G5=0,"Нет выхода — тупик","OK"))</f>
        <v/>
      </c>
    </row>
    <row r="6">
      <c r="A6" s="9" t="inlineStr">
        <is>
          <t>C4</t>
        </is>
      </c>
      <c r="B6" s="9" t="inlineStr">
        <is>
          <t>Авторизация</t>
        </is>
      </c>
      <c r="C6" s="9" t="inlineStr">
        <is>
          <t>Гость</t>
        </is>
      </c>
      <c r="D6" s="9" t="inlineStr">
        <is>
          <t>Восстановление пароля — новый пароль</t>
        </is>
      </c>
      <c r="E6" s="9" t="inlineStr">
        <is>
          <t>Ввод нового пароля по ссылке из письма</t>
        </is>
      </c>
      <c r="F6" s="9">
        <f>COUNTIF(Переходы!$C:$C,$A6)</f>
        <v/>
      </c>
      <c r="G6" s="9">
        <f>COUNTIF(Переходы!$A:$A,$A6)</f>
        <v/>
      </c>
      <c r="H6" s="9">
        <f>IF(F6=0,"Нет входа — недостижимый экран",IF(G6=0,"Нет выхода — тупик","OK"))</f>
        <v/>
      </c>
    </row>
    <row r="7">
      <c r="A7" s="10" t="inlineStr">
        <is>
          <t>B1</t>
        </is>
      </c>
      <c r="B7" s="10" t="inlineStr">
        <is>
          <t>Путь записи</t>
        </is>
      </c>
      <c r="C7" s="10" t="inlineStr">
        <is>
          <t>Гость / Клиент</t>
        </is>
      </c>
      <c r="D7" s="10" t="inlineStr">
        <is>
          <t>Запись. Шаг 1 — Услуги</t>
        </is>
      </c>
      <c r="E7" s="10" t="inlineStr">
        <is>
          <t>Выбор нескольких услуг, расчёт длительности и суммы</t>
        </is>
      </c>
      <c r="F7" s="10">
        <f>COUNTIF(Переходы!$C:$C,$A7)</f>
        <v/>
      </c>
      <c r="G7" s="10">
        <f>COUNTIF(Переходы!$A:$A,$A7)</f>
        <v/>
      </c>
      <c r="H7" s="10">
        <f>IF(F7=0,"Нет входа — недостижимый экран",IF(G7=0,"Нет выхода — тупик","OK"))</f>
        <v/>
      </c>
    </row>
    <row r="8">
      <c r="A8" s="9" t="inlineStr">
        <is>
          <t>B2</t>
        </is>
      </c>
      <c r="B8" s="9" t="inlineStr">
        <is>
          <t>Путь записи</t>
        </is>
      </c>
      <c r="C8" s="9" t="inlineStr">
        <is>
          <t>Гость / Клиент</t>
        </is>
      </c>
      <c r="D8" s="9" t="inlineStr">
        <is>
          <t>Запись. Шаг 2 — Мастер</t>
        </is>
      </c>
      <c r="E8" s="9" t="inlineStr">
        <is>
          <t>Выбор мастера или варианта «Любой мастер»</t>
        </is>
      </c>
      <c r="F8" s="9">
        <f>COUNTIF(Переходы!$C:$C,$A8)</f>
        <v/>
      </c>
      <c r="G8" s="9">
        <f>COUNTIF(Переходы!$A:$A,$A8)</f>
        <v/>
      </c>
      <c r="H8" s="9">
        <f>IF(F8=0,"Нет входа — недостижимый экран",IF(G8=0,"Нет выхода — тупик","OK"))</f>
        <v/>
      </c>
    </row>
    <row r="9">
      <c r="A9" s="10" t="inlineStr">
        <is>
          <t>B3</t>
        </is>
      </c>
      <c r="B9" s="10" t="inlineStr">
        <is>
          <t>Путь записи</t>
        </is>
      </c>
      <c r="C9" s="10" t="inlineStr">
        <is>
          <t>Гость / Клиент</t>
        </is>
      </c>
      <c r="D9" s="10" t="inlineStr">
        <is>
          <t>Запись. Шаг 3 — Дата и время</t>
        </is>
      </c>
      <c r="E9" s="10" t="inlineStr">
        <is>
          <t>Календарь на 3 месяца и свободные слоты, старт резерва</t>
        </is>
      </c>
      <c r="F9" s="10">
        <f>COUNTIF(Переходы!$C:$C,$A9)</f>
        <v/>
      </c>
      <c r="G9" s="10">
        <f>COUNTIF(Переходы!$A:$A,$A9)</f>
        <v/>
      </c>
      <c r="H9" s="10">
        <f>IF(F9=0,"Нет входа — недостижимый экран",IF(G9=0,"Нет выхода — тупик","OK"))</f>
        <v/>
      </c>
    </row>
    <row r="10">
      <c r="A10" s="9" t="inlineStr">
        <is>
          <t>B4</t>
        </is>
      </c>
      <c r="B10" s="9" t="inlineStr">
        <is>
          <t>Путь записи</t>
        </is>
      </c>
      <c r="C10" s="9" t="inlineStr">
        <is>
          <t>Гость</t>
        </is>
      </c>
      <c r="D10" s="9" t="inlineStr">
        <is>
          <t>Запись. Шаг 4 — Вход в процессе записи</t>
        </is>
      </c>
      <c r="E10" s="9" t="inlineStr">
        <is>
          <t>Вход или регистрация с сохранением резерва</t>
        </is>
      </c>
      <c r="F10" s="9">
        <f>COUNTIF(Переходы!$C:$C,$A10)</f>
        <v/>
      </c>
      <c r="G10" s="9">
        <f>COUNTIF(Переходы!$A:$A,$A10)</f>
        <v/>
      </c>
      <c r="H10" s="9">
        <f>IF(F10=0,"Нет входа — недостижимый экран",IF(G10=0,"Нет выхода — тупик","OK"))</f>
        <v/>
      </c>
    </row>
    <row r="11">
      <c r="A11" s="10" t="inlineStr">
        <is>
          <t>B5</t>
        </is>
      </c>
      <c r="B11" s="10" t="inlineStr">
        <is>
          <t>Путь записи</t>
        </is>
      </c>
      <c r="C11" s="10" t="inlineStr">
        <is>
          <t>Клиент</t>
        </is>
      </c>
      <c r="D11" s="10" t="inlineStr">
        <is>
          <t>Запись. Шаг 5 — Подтверждение</t>
        </is>
      </c>
      <c r="E11" s="10" t="inlineStr">
        <is>
          <t>Сводка записи, таймер резерва, подтверждение</t>
        </is>
      </c>
      <c r="F11" s="10">
        <f>COUNTIF(Переходы!$C:$C,$A11)</f>
        <v/>
      </c>
      <c r="G11" s="10">
        <f>COUNTIF(Переходы!$A:$A,$A11)</f>
        <v/>
      </c>
      <c r="H11" s="10">
        <f>IF(F11=0,"Нет входа — недостижимый экран",IF(G11=0,"Нет выхода — тупик","OK"))</f>
        <v/>
      </c>
    </row>
    <row r="12">
      <c r="A12" s="9" t="inlineStr">
        <is>
          <t>B6</t>
        </is>
      </c>
      <c r="B12" s="9" t="inlineStr">
        <is>
          <t>Путь записи</t>
        </is>
      </c>
      <c r="C12" s="9" t="inlineStr">
        <is>
          <t>Клиент</t>
        </is>
      </c>
      <c r="D12" s="9" t="inlineStr">
        <is>
          <t>Запись подтверждена</t>
        </is>
      </c>
      <c r="E12" s="9" t="inlineStr">
        <is>
          <t>Результат записи или переноса</t>
        </is>
      </c>
      <c r="F12" s="9">
        <f>COUNTIF(Переходы!$C:$C,$A12)</f>
        <v/>
      </c>
      <c r="G12" s="9">
        <f>COUNTIF(Переходы!$A:$A,$A12)</f>
        <v/>
      </c>
      <c r="H12" s="9">
        <f>IF(F12=0,"Нет входа — недостижимый экран",IF(G12=0,"Нет выхода — тупик","OK"))</f>
        <v/>
      </c>
    </row>
    <row r="13">
      <c r="A13" s="10" t="inlineStr">
        <is>
          <t>K1</t>
        </is>
      </c>
      <c r="B13" s="10" t="inlineStr">
        <is>
          <t>Кабинет клиента</t>
        </is>
      </c>
      <c r="C13" s="10" t="inlineStr">
        <is>
          <t>Клиент</t>
        </is>
      </c>
      <c r="D13" s="10" t="inlineStr">
        <is>
          <t>Личный кабинет — Предстоящие записи</t>
        </is>
      </c>
      <c r="E13" s="10" t="inlineStr">
        <is>
          <t>Просмотр, отмена и перенос своих записей</t>
        </is>
      </c>
      <c r="F13" s="10">
        <f>COUNTIF(Переходы!$C:$C,$A13)</f>
        <v/>
      </c>
      <c r="G13" s="10">
        <f>COUNTIF(Переходы!$A:$A,$A13)</f>
        <v/>
      </c>
      <c r="H13" s="10">
        <f>IF(F13=0,"Нет входа — недостижимый экран",IF(G13=0,"Нет выхода — тупик","OK"))</f>
        <v/>
      </c>
    </row>
    <row r="14">
      <c r="A14" s="9" t="inlineStr">
        <is>
          <t>K2</t>
        </is>
      </c>
      <c r="B14" s="9" t="inlineStr">
        <is>
          <t>Кабинет клиента</t>
        </is>
      </c>
      <c r="C14" s="9" t="inlineStr">
        <is>
          <t>Клиент</t>
        </is>
      </c>
      <c r="D14" s="9" t="inlineStr">
        <is>
          <t>Личный кабинет — История</t>
        </is>
      </c>
      <c r="E14" s="9" t="inlineStr">
        <is>
          <t>Завершённые и отменённые записи со статусами</t>
        </is>
      </c>
      <c r="F14" s="9">
        <f>COUNTIF(Переходы!$C:$C,$A14)</f>
        <v/>
      </c>
      <c r="G14" s="9">
        <f>COUNTIF(Переходы!$A:$A,$A14)</f>
        <v/>
      </c>
      <c r="H14" s="9">
        <f>IF(F14=0,"Нет входа — недостижимый экран",IF(G14=0,"Нет выхода — тупик","OK"))</f>
        <v/>
      </c>
    </row>
    <row r="15">
      <c r="A15" s="10" t="inlineStr">
        <is>
          <t>K3</t>
        </is>
      </c>
      <c r="B15" s="10" t="inlineStr">
        <is>
          <t>Кабинет клиента</t>
        </is>
      </c>
      <c r="C15" s="10" t="inlineStr">
        <is>
          <t>Клиент</t>
        </is>
      </c>
      <c r="D15" s="10" t="inlineStr">
        <is>
          <t>Перенос записи</t>
        </is>
      </c>
      <c r="E15" s="10" t="inlineStr">
        <is>
          <t>Выбор новых даты и времени, лимит 3 переноса</t>
        </is>
      </c>
      <c r="F15" s="10">
        <f>COUNTIF(Переходы!$C:$C,$A15)</f>
        <v/>
      </c>
      <c r="G15" s="10">
        <f>COUNTIF(Переходы!$A:$A,$A15)</f>
        <v/>
      </c>
      <c r="H15" s="10">
        <f>IF(F15=0,"Нет входа — недостижимый экран",IF(G15=0,"Нет выхода — тупик","OK"))</f>
        <v/>
      </c>
    </row>
    <row r="16">
      <c r="A16" s="9" t="inlineStr">
        <is>
          <t>K4</t>
        </is>
      </c>
      <c r="B16" s="9" t="inlineStr">
        <is>
          <t>Кабинет клиента</t>
        </is>
      </c>
      <c r="C16" s="9" t="inlineStr">
        <is>
          <t>Клиент</t>
        </is>
      </c>
      <c r="D16" s="9" t="inlineStr">
        <is>
          <t>Личный кабинет — Уведомления</t>
        </is>
      </c>
      <c r="E16" s="9" t="inlineStr">
        <is>
          <t>Сообщения сервиса внутри кабинета</t>
        </is>
      </c>
      <c r="F16" s="9">
        <f>COUNTIF(Переходы!$C:$C,$A16)</f>
        <v/>
      </c>
      <c r="G16" s="9">
        <f>COUNTIF(Переходы!$A:$A,$A16)</f>
        <v/>
      </c>
      <c r="H16" s="9">
        <f>IF(F16=0,"Нет входа — недостижимый экран",IF(G16=0,"Нет выхода — тупик","OK"))</f>
        <v/>
      </c>
    </row>
    <row r="17">
      <c r="A17" s="10" t="inlineStr">
        <is>
          <t>K5</t>
        </is>
      </c>
      <c r="B17" s="10" t="inlineStr">
        <is>
          <t>Кабинет клиента</t>
        </is>
      </c>
      <c r="C17" s="10" t="inlineStr">
        <is>
          <t>Клиент</t>
        </is>
      </c>
      <c r="D17" s="10" t="inlineStr">
        <is>
          <t>Личный кабинет — Профиль</t>
        </is>
      </c>
      <c r="E17" s="10" t="inlineStr">
        <is>
          <t>Данные, смена пароля, тема оформления, выход</t>
        </is>
      </c>
      <c r="F17" s="10">
        <f>COUNTIF(Переходы!$C:$C,$A17)</f>
        <v/>
      </c>
      <c r="G17" s="10">
        <f>COUNTIF(Переходы!$A:$A,$A17)</f>
        <v/>
      </c>
      <c r="H17" s="10">
        <f>IF(F17=0,"Нет входа — недостижимый экран",IF(G17=0,"Нет выхода — тупик","OK"))</f>
        <v/>
      </c>
    </row>
    <row r="18">
      <c r="A18" s="9" t="inlineStr">
        <is>
          <t>M1</t>
        </is>
      </c>
      <c r="B18" s="9" t="inlineStr">
        <is>
          <t>Кабинет мастера</t>
        </is>
      </c>
      <c r="C18" s="9" t="inlineStr">
        <is>
          <t>Мастер</t>
        </is>
      </c>
      <c r="D18" s="9" t="inlineStr">
        <is>
          <t>Вход мастера</t>
        </is>
      </c>
      <c r="E18" s="9" t="inlineStr">
        <is>
          <t>Вход в кабинет мастера</t>
        </is>
      </c>
      <c r="F18" s="9">
        <f>COUNTIF(Переходы!$C:$C,$A18)</f>
        <v/>
      </c>
      <c r="G18" s="9">
        <f>COUNTIF(Переходы!$A:$A,$A18)</f>
        <v/>
      </c>
      <c r="H18" s="9">
        <f>IF(F18=0,"Нет входа — недостижимый экран",IF(G18=0,"Нет выхода — тупик","OK"))</f>
        <v/>
      </c>
    </row>
    <row r="19">
      <c r="A19" s="10" t="inlineStr">
        <is>
          <t>M2</t>
        </is>
      </c>
      <c r="B19" s="10" t="inlineStr">
        <is>
          <t>Кабинет мастера</t>
        </is>
      </c>
      <c r="C19" s="10" t="inlineStr">
        <is>
          <t>Мастер</t>
        </is>
      </c>
      <c r="D19" s="10" t="inlineStr">
        <is>
          <t>Мастер — Мой день</t>
        </is>
      </c>
      <c r="E19" s="10" t="inlineStr">
        <is>
          <t>Свои записи на день, статусы визитов, отмена и перенос</t>
        </is>
      </c>
      <c r="F19" s="10">
        <f>COUNTIF(Переходы!$C:$C,$A19)</f>
        <v/>
      </c>
      <c r="G19" s="10">
        <f>COUNTIF(Переходы!$A:$A,$A19)</f>
        <v/>
      </c>
      <c r="H19" s="10">
        <f>IF(F19=0,"Нет входа — недостижимый экран",IF(G19=0,"Нет выхода — тупик","OK"))</f>
        <v/>
      </c>
    </row>
    <row r="20">
      <c r="A20" s="9" t="inlineStr">
        <is>
          <t>M3</t>
        </is>
      </c>
      <c r="B20" s="9" t="inlineStr">
        <is>
          <t>Кабинет мастера</t>
        </is>
      </c>
      <c r="C20" s="9" t="inlineStr">
        <is>
          <t>Мастер</t>
        </is>
      </c>
      <c r="D20" s="9" t="inlineStr">
        <is>
          <t>Мастер — Расписание</t>
        </is>
      </c>
      <c r="E20" s="9" t="inlineStr">
        <is>
          <t>Своя неделя, закрытие времени, заявка на изменение графика</t>
        </is>
      </c>
      <c r="F20" s="9">
        <f>COUNTIF(Переходы!$C:$C,$A20)</f>
        <v/>
      </c>
      <c r="G20" s="9">
        <f>COUNTIF(Переходы!$A:$A,$A20)</f>
        <v/>
      </c>
      <c r="H20" s="9">
        <f>IF(F20=0,"Нет входа — недостижимый экран",IF(G20=0,"Нет выхода — тупик","OK"))</f>
        <v/>
      </c>
    </row>
    <row r="21">
      <c r="A21" s="10" t="inlineStr">
        <is>
          <t>M4</t>
        </is>
      </c>
      <c r="B21" s="10" t="inlineStr">
        <is>
          <t>Кабинет мастера</t>
        </is>
      </c>
      <c r="C21" s="10" t="inlineStr">
        <is>
          <t>Мастер</t>
        </is>
      </c>
      <c r="D21" s="10" t="inlineStr">
        <is>
          <t>Мастер — Профиль</t>
        </is>
      </c>
      <c r="E21" s="10" t="inlineStr">
        <is>
          <t>Профиль, смена пароля, своя статистика и выручка</t>
        </is>
      </c>
      <c r="F21" s="10">
        <f>COUNTIF(Переходы!$C:$C,$A21)</f>
        <v/>
      </c>
      <c r="G21" s="10">
        <f>COUNTIF(Переходы!$A:$A,$A21)</f>
        <v/>
      </c>
      <c r="H21" s="10">
        <f>IF(F21=0,"Нет входа — недостижимый экран",IF(G21=0,"Нет выхода — тупик","OK"))</f>
        <v/>
      </c>
    </row>
    <row r="22">
      <c r="A22" s="9" t="inlineStr">
        <is>
          <t>A1</t>
        </is>
      </c>
      <c r="B22" s="9" t="inlineStr">
        <is>
          <t>Админ-панель</t>
        </is>
      </c>
      <c r="C22" s="9" t="inlineStr">
        <is>
          <t>Администратор</t>
        </is>
      </c>
      <c r="D22" s="9" t="inlineStr">
        <is>
          <t>Вход администратора</t>
        </is>
      </c>
      <c r="E22" s="9" t="inlineStr">
        <is>
          <t>Вход в админ-панель</t>
        </is>
      </c>
      <c r="F22" s="9">
        <f>COUNTIF(Переходы!$C:$C,$A22)</f>
        <v/>
      </c>
      <c r="G22" s="9">
        <f>COUNTIF(Переходы!$A:$A,$A22)</f>
        <v/>
      </c>
      <c r="H22" s="9">
        <f>IF(F22=0,"Нет входа — недостижимый экран",IF(G22=0,"Нет выхода — тупик","OK"))</f>
        <v/>
      </c>
    </row>
    <row r="23">
      <c r="A23" s="10" t="inlineStr">
        <is>
          <t>A2</t>
        </is>
      </c>
      <c r="B23" s="10" t="inlineStr">
        <is>
          <t>Админ-панель</t>
        </is>
      </c>
      <c r="C23" s="10" t="inlineStr">
        <is>
          <t>Администратор</t>
        </is>
      </c>
      <c r="D23" s="10" t="inlineStr">
        <is>
          <t>Админ — Сегодня</t>
        </is>
      </c>
      <c r="E23" s="10" t="inlineStr">
        <is>
          <t>Показатели дня, ближайшие записи, задачи на внимание</t>
        </is>
      </c>
      <c r="F23" s="10">
        <f>COUNTIF(Переходы!$C:$C,$A23)</f>
        <v/>
      </c>
      <c r="G23" s="10">
        <f>COUNTIF(Переходы!$A:$A,$A23)</f>
        <v/>
      </c>
      <c r="H23" s="10">
        <f>IF(F23=0,"Нет входа — недостижимый экран",IF(G23=0,"Нет выхода — тупик","OK"))</f>
        <v/>
      </c>
    </row>
    <row r="24">
      <c r="A24" s="9" t="inlineStr">
        <is>
          <t>A3</t>
        </is>
      </c>
      <c r="B24" s="9" t="inlineStr">
        <is>
          <t>Админ-панель</t>
        </is>
      </c>
      <c r="C24" s="9" t="inlineStr">
        <is>
          <t>Администратор</t>
        </is>
      </c>
      <c r="D24" s="9" t="inlineStr">
        <is>
          <t>Админ — Расписание дня</t>
        </is>
      </c>
      <c r="E24" s="9" t="inlineStr">
        <is>
          <t>Сетка «мастера × время», ручное освобождение слотов</t>
        </is>
      </c>
      <c r="F24" s="9">
        <f>COUNTIF(Переходы!$C:$C,$A24)</f>
        <v/>
      </c>
      <c r="G24" s="9">
        <f>COUNTIF(Переходы!$A:$A,$A24)</f>
        <v/>
      </c>
      <c r="H24" s="9">
        <f>IF(F24=0,"Нет входа — недостижимый экран",IF(G24=0,"Нет выхода — тупик","OK"))</f>
        <v/>
      </c>
    </row>
    <row r="25">
      <c r="A25" s="10" t="inlineStr">
        <is>
          <t>A4</t>
        </is>
      </c>
      <c r="B25" s="10" t="inlineStr">
        <is>
          <t>Админ-панель</t>
        </is>
      </c>
      <c r="C25" s="10" t="inlineStr">
        <is>
          <t>Администратор</t>
        </is>
      </c>
      <c r="D25" s="10" t="inlineStr">
        <is>
          <t>Админ — Записи</t>
        </is>
      </c>
      <c r="E25" s="10" t="inlineStr">
        <is>
          <t>Таблица всех записей, фильтры, создание записи вручную</t>
        </is>
      </c>
      <c r="F25" s="10">
        <f>COUNTIF(Переходы!$C:$C,$A25)</f>
        <v/>
      </c>
      <c r="G25" s="10">
        <f>COUNTIF(Переходы!$A:$A,$A25)</f>
        <v/>
      </c>
      <c r="H25" s="10">
        <f>IF(F25=0,"Нет входа — недостижимый экран",IF(G25=0,"Нет выхода — тупик","OK"))</f>
        <v/>
      </c>
    </row>
    <row r="26">
      <c r="A26" s="9" t="inlineStr">
        <is>
          <t>A5</t>
        </is>
      </c>
      <c r="B26" s="9" t="inlineStr">
        <is>
          <t>Админ-панель</t>
        </is>
      </c>
      <c r="C26" s="9" t="inlineStr">
        <is>
          <t>Администратор</t>
        </is>
      </c>
      <c r="D26" s="9" t="inlineStr">
        <is>
          <t>Админ — Услуги</t>
        </is>
      </c>
      <c r="E26" s="9" t="inlineStr">
        <is>
          <t>Услуги, категории, длительность и цены</t>
        </is>
      </c>
      <c r="F26" s="9">
        <f>COUNTIF(Переходы!$C:$C,$A26)</f>
        <v/>
      </c>
      <c r="G26" s="9">
        <f>COUNTIF(Переходы!$A:$A,$A26)</f>
        <v/>
      </c>
      <c r="H26" s="9">
        <f>IF(F26=0,"Нет входа — недостижимый экран",IF(G26=0,"Нет выхода — тупик","OK"))</f>
        <v/>
      </c>
    </row>
    <row r="27">
      <c r="A27" s="10" t="inlineStr">
        <is>
          <t>A6</t>
        </is>
      </c>
      <c r="B27" s="10" t="inlineStr">
        <is>
          <t>Админ-панель</t>
        </is>
      </c>
      <c r="C27" s="10" t="inlineStr">
        <is>
          <t>Администратор</t>
        </is>
      </c>
      <c r="D27" s="10" t="inlineStr">
        <is>
          <t>Админ — Мастера</t>
        </is>
      </c>
      <c r="E27" s="10" t="inlineStr">
        <is>
          <t>Карточки мастеров, их услуги и статус</t>
        </is>
      </c>
      <c r="F27" s="10">
        <f>COUNTIF(Переходы!$C:$C,$A27)</f>
        <v/>
      </c>
      <c r="G27" s="10">
        <f>COUNTIF(Переходы!$A:$A,$A27)</f>
        <v/>
      </c>
      <c r="H27" s="10">
        <f>IF(F27=0,"Нет входа — недостижимый экран",IF(G27=0,"Нет выхода — тупик","OK"))</f>
        <v/>
      </c>
    </row>
    <row r="28">
      <c r="A28" s="9" t="inlineStr">
        <is>
          <t>A7</t>
        </is>
      </c>
      <c r="B28" s="9" t="inlineStr">
        <is>
          <t>Админ-панель</t>
        </is>
      </c>
      <c r="C28" s="9" t="inlineStr">
        <is>
          <t>Администратор</t>
        </is>
      </c>
      <c r="D28" s="9" t="inlineStr">
        <is>
          <t>Админ — Графики</t>
        </is>
      </c>
      <c r="E28" s="9" t="inlineStr">
        <is>
          <t>Недельные графики, отпуска, заявки мастеров</t>
        </is>
      </c>
      <c r="F28" s="9">
        <f>COUNTIF(Переходы!$C:$C,$A28)</f>
        <v/>
      </c>
      <c r="G28" s="9">
        <f>COUNTIF(Переходы!$A:$A,$A28)</f>
        <v/>
      </c>
      <c r="H28" s="9">
        <f>IF(F28=0,"Нет входа — недостижимый экран",IF(G28=0,"Нет выхода — тупик","OK"))</f>
        <v/>
      </c>
    </row>
    <row r="29">
      <c r="A29" s="10" t="inlineStr">
        <is>
          <t>A8</t>
        </is>
      </c>
      <c r="B29" s="10" t="inlineStr">
        <is>
          <t>Админ-панель</t>
        </is>
      </c>
      <c r="C29" s="10" t="inlineStr">
        <is>
          <t>Администратор</t>
        </is>
      </c>
      <c r="D29" s="10" t="inlineStr">
        <is>
          <t>Админ — Клиенты</t>
        </is>
      </c>
      <c r="E29" s="10" t="inlineStr">
        <is>
          <t>База клиентов и история их визитов</t>
        </is>
      </c>
      <c r="F29" s="10">
        <f>COUNTIF(Переходы!$C:$C,$A29)</f>
        <v/>
      </c>
      <c r="G29" s="10">
        <f>COUNTIF(Переходы!$A:$A,$A29)</f>
        <v/>
      </c>
      <c r="H29" s="10">
        <f>IF(F29=0,"Нет входа — недостижимый экран",IF(G29=0,"Нет выхода — тупик","OK"))</f>
        <v/>
      </c>
    </row>
    <row r="30">
      <c r="A30" s="9" t="inlineStr">
        <is>
          <t>A9</t>
        </is>
      </c>
      <c r="B30" s="9" t="inlineStr">
        <is>
          <t>Админ-панель</t>
        </is>
      </c>
      <c r="C30" s="9" t="inlineStr">
        <is>
          <t>Администратор</t>
        </is>
      </c>
      <c r="D30" s="9" t="inlineStr">
        <is>
          <t>Админ — Аналитика</t>
        </is>
      </c>
      <c r="E30" s="9" t="inlineStr">
        <is>
          <t>Выручка, загрузка, экспорт данных</t>
        </is>
      </c>
      <c r="F30" s="9">
        <f>COUNTIF(Переходы!$C:$C,$A30)</f>
        <v/>
      </c>
      <c r="G30" s="9">
        <f>COUNTIF(Переходы!$A:$A,$A30)</f>
        <v/>
      </c>
      <c r="H30" s="9">
        <f>IF(F30=0,"Нет входа — недостижимый экран",IF(G30=0,"Нет выхода — тупик","OK"))</f>
        <v/>
      </c>
    </row>
    <row r="31">
      <c r="A31" s="10" t="inlineStr">
        <is>
          <t>A10</t>
        </is>
      </c>
      <c r="B31" s="10" t="inlineStr">
        <is>
          <t>Админ-панель</t>
        </is>
      </c>
      <c r="C31" s="10" t="inlineStr">
        <is>
          <t>Администратор</t>
        </is>
      </c>
      <c r="D31" s="10" t="inlineStr">
        <is>
          <t>Админ — Роли и доступы</t>
        </is>
      </c>
      <c r="E31" s="10" t="inlineStr">
        <is>
          <t>Назначение ролей и справочная матрица прав</t>
        </is>
      </c>
      <c r="F31" s="10">
        <f>COUNTIF(Переходы!$C:$C,$A31)</f>
        <v/>
      </c>
      <c r="G31" s="10">
        <f>COUNTIF(Переходы!$A:$A,$A31)</f>
        <v/>
      </c>
      <c r="H31" s="10">
        <f>IF(F31=0,"Нет входа — недостижимый экран",IF(G31=0,"Нет выхода — тупик","OK"))</f>
        <v/>
      </c>
    </row>
    <row r="32">
      <c r="A32" s="9" t="inlineStr">
        <is>
          <t>A11</t>
        </is>
      </c>
      <c r="B32" s="9" t="inlineStr">
        <is>
          <t>Админ-панель</t>
        </is>
      </c>
      <c r="C32" s="9" t="inlineStr">
        <is>
          <t>Администратор</t>
        </is>
      </c>
      <c r="D32" s="9" t="inlineStr">
        <is>
          <t>Админ — Настройки</t>
        </is>
      </c>
      <c r="E32" s="9" t="inlineStr">
        <is>
          <t>График студии, правила записи, отмены и переносов</t>
        </is>
      </c>
      <c r="F32" s="9">
        <f>COUNTIF(Переходы!$C:$C,$A32)</f>
        <v/>
      </c>
      <c r="G32" s="9">
        <f>COUNTIF(Переходы!$A:$A,$A32)</f>
        <v/>
      </c>
      <c r="H32" s="9">
        <f>IF(F32=0,"Нет входа — недостижимый экран",IF(G32=0,"Нет выхода — тупик","OK"))</f>
        <v/>
      </c>
    </row>
  </sheetData>
  <autoFilter ref="A1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0" customWidth="1" min="3" max="3"/>
    <col width="34" customWidth="1" min="4" max="4"/>
    <col width="46" customWidth="1" min="5" max="5"/>
    <col width="14" customWidth="1" min="6" max="6"/>
    <col width="44" customWidth="1" min="7" max="7"/>
  </cols>
  <sheetData>
    <row r="1" ht="30" customHeight="1">
      <c r="A1" s="8" t="inlineStr">
        <is>
          <t>ID откуда</t>
        </is>
      </c>
      <c r="B1" s="8" t="inlineStr">
        <is>
          <t>Экран откуда</t>
        </is>
      </c>
      <c r="C1" s="8" t="inlineStr">
        <is>
          <t>ID куда</t>
        </is>
      </c>
      <c r="D1" s="8" t="inlineStr">
        <is>
          <t>Экран куда</t>
        </is>
      </c>
      <c r="E1" s="8" t="inlineStr">
        <is>
          <t>Действие или кнопка</t>
        </is>
      </c>
      <c r="F1" s="8" t="inlineStr">
        <is>
          <t>Тип перехода</t>
        </is>
      </c>
      <c r="G1" s="8" t="inlineStr">
        <is>
          <t>Примечание</t>
        </is>
      </c>
    </row>
    <row r="2">
      <c r="A2" s="9" t="inlineStr">
        <is>
          <t>L1</t>
        </is>
      </c>
      <c r="B2" s="9" t="inlineStr">
        <is>
          <t>Главная — лендинг</t>
        </is>
      </c>
      <c r="C2" s="9" t="inlineStr">
        <is>
          <t>B1</t>
        </is>
      </c>
      <c r="D2" s="9" t="inlineStr">
        <is>
          <t>Запись. Шаг 1 — Услуги</t>
        </is>
      </c>
      <c r="E2" s="9" t="inlineStr">
        <is>
          <t>Кнопка «Записаться онлайн»</t>
        </is>
      </c>
      <c r="F2" s="9" t="inlineStr">
        <is>
          <t>Основной</t>
        </is>
      </c>
      <c r="G2" s="9" t="inlineStr">
        <is>
          <t>Главный призыв в шапке, первом экране и финальном блоке</t>
        </is>
      </c>
    </row>
    <row r="3">
      <c r="A3" s="10" t="inlineStr">
        <is>
          <t>L1</t>
        </is>
      </c>
      <c r="B3" s="10" t="inlineStr">
        <is>
          <t>Главная — лендинг</t>
        </is>
      </c>
      <c r="C3" s="10" t="inlineStr">
        <is>
          <t>B1</t>
        </is>
      </c>
      <c r="D3" s="10" t="inlineStr">
        <is>
          <t>Запись. Шаг 1 — Услуги</t>
        </is>
      </c>
      <c r="E3" s="10" t="inlineStr">
        <is>
          <t>Кнопка «Записаться» в карточке услуги</t>
        </is>
      </c>
      <c r="F3" s="10" t="inlineStr">
        <is>
          <t>Основной</t>
        </is>
      </c>
      <c r="G3" s="10" t="inlineStr">
        <is>
          <t>Услуга отмечена заранее</t>
        </is>
      </c>
    </row>
    <row r="4">
      <c r="A4" s="9" t="inlineStr">
        <is>
          <t>L1</t>
        </is>
      </c>
      <c r="B4" s="9" t="inlineStr">
        <is>
          <t>Главная — лендинг</t>
        </is>
      </c>
      <c r="C4" s="9" t="inlineStr">
        <is>
          <t>B1</t>
        </is>
      </c>
      <c r="D4" s="9" t="inlineStr">
        <is>
          <t>Запись. Шаг 1 — Услуги</t>
        </is>
      </c>
      <c r="E4" s="9" t="inlineStr">
        <is>
          <t>Кнопка «Записаться к мастеру»</t>
        </is>
      </c>
      <c r="F4" s="9" t="inlineStr">
        <is>
          <t>Основной</t>
        </is>
      </c>
      <c r="G4" s="9" t="inlineStr">
        <is>
          <t>Мастер выбран заранее</t>
        </is>
      </c>
    </row>
    <row r="5">
      <c r="A5" s="10" t="inlineStr">
        <is>
          <t>L1</t>
        </is>
      </c>
      <c r="B5" s="10" t="inlineStr">
        <is>
          <t>Главная — лендинг</t>
        </is>
      </c>
      <c r="C5" s="10" t="inlineStr">
        <is>
          <t>C1</t>
        </is>
      </c>
      <c r="D5" s="10" t="inlineStr">
        <is>
          <t>Вход</t>
        </is>
      </c>
      <c r="E5" s="10" t="inlineStr">
        <is>
          <t>Ссылка «Войти» в шапке и подвале</t>
        </is>
      </c>
      <c r="F5" s="10" t="inlineStr">
        <is>
          <t>Основной</t>
        </is>
      </c>
      <c r="G5" s="10" t="inlineStr"/>
    </row>
    <row r="6">
      <c r="A6" s="9" t="inlineStr">
        <is>
          <t>L1</t>
        </is>
      </c>
      <c r="B6" s="9" t="inlineStr">
        <is>
          <t>Главная — лендинг</t>
        </is>
      </c>
      <c r="C6" s="9" t="inlineStr">
        <is>
          <t>C2</t>
        </is>
      </c>
      <c r="D6" s="9" t="inlineStr">
        <is>
          <t>Регистрация</t>
        </is>
      </c>
      <c r="E6" s="9" t="inlineStr">
        <is>
          <t>Ссылка «Регистрация» в подвале</t>
        </is>
      </c>
      <c r="F6" s="9" t="inlineStr">
        <is>
          <t>Основной</t>
        </is>
      </c>
      <c r="G6" s="9" t="inlineStr"/>
    </row>
    <row r="7">
      <c r="A7" s="10" t="inlineStr">
        <is>
          <t>C1</t>
        </is>
      </c>
      <c r="B7" s="10" t="inlineStr">
        <is>
          <t>Вход</t>
        </is>
      </c>
      <c r="C7" s="10" t="inlineStr">
        <is>
          <t>K1</t>
        </is>
      </c>
      <c r="D7" s="10" t="inlineStr">
        <is>
          <t>Личный кабинет — Предстоящие записи</t>
        </is>
      </c>
      <c r="E7" s="10" t="inlineStr">
        <is>
          <t>Кнопка «Войти»</t>
        </is>
      </c>
      <c r="F7" s="10" t="inlineStr">
        <is>
          <t>Основной</t>
        </is>
      </c>
      <c r="G7" s="10" t="inlineStr">
        <is>
          <t>Успешный вход вне процесса записи</t>
        </is>
      </c>
    </row>
    <row r="8">
      <c r="A8" s="9" t="inlineStr">
        <is>
          <t>C1</t>
        </is>
      </c>
      <c r="B8" s="9" t="inlineStr">
        <is>
          <t>Вход</t>
        </is>
      </c>
      <c r="C8" s="9" t="inlineStr">
        <is>
          <t>C2</t>
        </is>
      </c>
      <c r="D8" s="9" t="inlineStr">
        <is>
          <t>Регистрация</t>
        </is>
      </c>
      <c r="E8" s="9" t="inlineStr">
        <is>
          <t>Ссылка «Зарегистрироваться»</t>
        </is>
      </c>
      <c r="F8" s="9" t="inlineStr">
        <is>
          <t>Основной</t>
        </is>
      </c>
      <c r="G8" s="9" t="inlineStr"/>
    </row>
    <row r="9">
      <c r="A9" s="10" t="inlineStr">
        <is>
          <t>C1</t>
        </is>
      </c>
      <c r="B9" s="10" t="inlineStr">
        <is>
          <t>Вход</t>
        </is>
      </c>
      <c r="C9" s="10" t="inlineStr">
        <is>
          <t>C3</t>
        </is>
      </c>
      <c r="D9" s="10" t="inlineStr">
        <is>
          <t>Восстановление пароля — запрос</t>
        </is>
      </c>
      <c r="E9" s="10" t="inlineStr">
        <is>
          <t>Ссылка «Забыли пароль?»</t>
        </is>
      </c>
      <c r="F9" s="10" t="inlineStr">
        <is>
          <t>Основной</t>
        </is>
      </c>
      <c r="G9" s="10" t="inlineStr"/>
    </row>
    <row r="10">
      <c r="A10" s="9" t="inlineStr">
        <is>
          <t>C1</t>
        </is>
      </c>
      <c r="B10" s="9" t="inlineStr">
        <is>
          <t>Вход</t>
        </is>
      </c>
      <c r="C10" s="9" t="inlineStr">
        <is>
          <t>L1</t>
        </is>
      </c>
      <c r="D10" s="9" t="inlineStr">
        <is>
          <t>Главная — лендинг</t>
        </is>
      </c>
      <c r="E10" s="9" t="inlineStr">
        <is>
          <t>Кнопка «Назад» и логотип</t>
        </is>
      </c>
      <c r="F10" s="9" t="inlineStr">
        <is>
          <t>Возврат</t>
        </is>
      </c>
      <c r="G10" s="9" t="inlineStr"/>
    </row>
    <row r="11">
      <c r="A11" s="10" t="inlineStr">
        <is>
          <t>C2</t>
        </is>
      </c>
      <c r="B11" s="10" t="inlineStr">
        <is>
          <t>Регистрация</t>
        </is>
      </c>
      <c r="C11" s="10" t="inlineStr">
        <is>
          <t>K1</t>
        </is>
      </c>
      <c r="D11" s="10" t="inlineStr">
        <is>
          <t>Личный кабинет — Предстоящие записи</t>
        </is>
      </c>
      <c r="E11" s="10" t="inlineStr">
        <is>
          <t>Кнопка «Зарегистрироваться»</t>
        </is>
      </c>
      <c r="F11" s="10" t="inlineStr">
        <is>
          <t>Основной</t>
        </is>
      </c>
      <c r="G11" s="10" t="inlineStr">
        <is>
          <t>После успешной регистрации</t>
        </is>
      </c>
    </row>
    <row r="12">
      <c r="A12" s="9" t="inlineStr">
        <is>
          <t>C2</t>
        </is>
      </c>
      <c r="B12" s="9" t="inlineStr">
        <is>
          <t>Регистрация</t>
        </is>
      </c>
      <c r="C12" s="9" t="inlineStr">
        <is>
          <t>C1</t>
        </is>
      </c>
      <c r="D12" s="9" t="inlineStr">
        <is>
          <t>Вход</t>
        </is>
      </c>
      <c r="E12" s="9" t="inlineStr">
        <is>
          <t>Ссылка «Войти»</t>
        </is>
      </c>
      <c r="F12" s="9" t="inlineStr">
        <is>
          <t>Возврат</t>
        </is>
      </c>
      <c r="G12" s="9" t="inlineStr">
        <is>
          <t>В том числе из ошибки «E-mail уже зарегистрирован»</t>
        </is>
      </c>
    </row>
    <row r="13">
      <c r="A13" s="10" t="inlineStr">
        <is>
          <t>C2</t>
        </is>
      </c>
      <c r="B13" s="10" t="inlineStr">
        <is>
          <t>Регистрация</t>
        </is>
      </c>
      <c r="C13" s="10" t="inlineStr">
        <is>
          <t>L1</t>
        </is>
      </c>
      <c r="D13" s="10" t="inlineStr">
        <is>
          <t>Главная — лендинг</t>
        </is>
      </c>
      <c r="E13" s="10" t="inlineStr">
        <is>
          <t>Кнопка «Назад» и логотип</t>
        </is>
      </c>
      <c r="F13" s="10" t="inlineStr">
        <is>
          <t>Возврат</t>
        </is>
      </c>
      <c r="G13" s="10" t="inlineStr"/>
    </row>
    <row r="14">
      <c r="A14" s="9" t="inlineStr">
        <is>
          <t>C3</t>
        </is>
      </c>
      <c r="B14" s="9" t="inlineStr">
        <is>
          <t>Восстановление пароля — запрос</t>
        </is>
      </c>
      <c r="C14" s="9" t="inlineStr">
        <is>
          <t>C4</t>
        </is>
      </c>
      <c r="D14" s="9" t="inlineStr">
        <is>
          <t>Восстановление пароля — новый пароль</t>
        </is>
      </c>
      <c r="E14" s="9" t="inlineStr">
        <is>
          <t>Переход по ссылке из письма</t>
        </is>
      </c>
      <c r="F14" s="9" t="inlineStr">
        <is>
          <t>Основной</t>
        </is>
      </c>
      <c r="G14" s="9" t="inlineStr">
        <is>
          <t>В прототипе — прямой переход</t>
        </is>
      </c>
    </row>
    <row r="15">
      <c r="A15" s="10" t="inlineStr">
        <is>
          <t>C3</t>
        </is>
      </c>
      <c r="B15" s="10" t="inlineStr">
        <is>
          <t>Восстановление пароля — запрос</t>
        </is>
      </c>
      <c r="C15" s="10" t="inlineStr">
        <is>
          <t>C1</t>
        </is>
      </c>
      <c r="D15" s="10" t="inlineStr">
        <is>
          <t>Вход</t>
        </is>
      </c>
      <c r="E15" s="10" t="inlineStr">
        <is>
          <t>Ссылка «Вернуться ко входу»</t>
        </is>
      </c>
      <c r="F15" s="10" t="inlineStr">
        <is>
          <t>Возврат</t>
        </is>
      </c>
      <c r="G15" s="10" t="inlineStr"/>
    </row>
    <row r="16">
      <c r="A16" s="9" t="inlineStr">
        <is>
          <t>C4</t>
        </is>
      </c>
      <c r="B16" s="9" t="inlineStr">
        <is>
          <t>Восстановление пароля — новый пароль</t>
        </is>
      </c>
      <c r="C16" s="9" t="inlineStr">
        <is>
          <t>K1</t>
        </is>
      </c>
      <c r="D16" s="9" t="inlineStr">
        <is>
          <t>Личный кабинет — Предстоящие записи</t>
        </is>
      </c>
      <c r="E16" s="9" t="inlineStr">
        <is>
          <t>Кнопка «Сохранить и войти»</t>
        </is>
      </c>
      <c r="F16" s="9" t="inlineStr">
        <is>
          <t>Основной</t>
        </is>
      </c>
      <c r="G16" s="9" t="inlineStr">
        <is>
          <t>Если восстановление начато вне записи</t>
        </is>
      </c>
    </row>
    <row r="17">
      <c r="A17" s="10" t="inlineStr">
        <is>
          <t>C4</t>
        </is>
      </c>
      <c r="B17" s="10" t="inlineStr">
        <is>
          <t>Восстановление пароля — новый пароль</t>
        </is>
      </c>
      <c r="C17" s="10" t="inlineStr">
        <is>
          <t>B5</t>
        </is>
      </c>
      <c r="D17" s="10" t="inlineStr">
        <is>
          <t>Запись. Шаг 5 — Подтверждение</t>
        </is>
      </c>
      <c r="E17" s="10" t="inlineStr">
        <is>
          <t>Кнопка «Сохранить и войти»</t>
        </is>
      </c>
      <c r="F17" s="10" t="inlineStr">
        <is>
          <t>Основной</t>
        </is>
      </c>
      <c r="G17" s="10" t="inlineStr">
        <is>
          <t>Если восстановление начато внутри записи и резерв ещё жив</t>
        </is>
      </c>
    </row>
    <row r="18">
      <c r="A18" s="9" t="inlineStr">
        <is>
          <t>C4</t>
        </is>
      </c>
      <c r="B18" s="9" t="inlineStr">
        <is>
          <t>Восстановление пароля — новый пароль</t>
        </is>
      </c>
      <c r="C18" s="9" t="inlineStr">
        <is>
          <t>C3</t>
        </is>
      </c>
      <c r="D18" s="9" t="inlineStr">
        <is>
          <t>Восстановление пароля — запрос</t>
        </is>
      </c>
      <c r="E18" s="9" t="inlineStr">
        <is>
          <t>Кнопка «Запросить новую ссылку»</t>
        </is>
      </c>
      <c r="F18" s="9" t="inlineStr">
        <is>
          <t>Ошибка</t>
        </is>
      </c>
      <c r="G18" s="9" t="inlineStr">
        <is>
          <t>Состояние «Ссылка больше не действует»</t>
        </is>
      </c>
    </row>
    <row r="19">
      <c r="A19" s="10" t="inlineStr">
        <is>
          <t>B1</t>
        </is>
      </c>
      <c r="B19" s="10" t="inlineStr">
        <is>
          <t>Запись. Шаг 1 — Услуги</t>
        </is>
      </c>
      <c r="C19" s="10" t="inlineStr">
        <is>
          <t>B2</t>
        </is>
      </c>
      <c r="D19" s="10" t="inlineStr">
        <is>
          <t>Запись. Шаг 2 — Мастер</t>
        </is>
      </c>
      <c r="E19" s="10" t="inlineStr">
        <is>
          <t>Кнопка «Далее»</t>
        </is>
      </c>
      <c r="F19" s="10" t="inlineStr">
        <is>
          <t>Основной</t>
        </is>
      </c>
      <c r="G19" s="10" t="inlineStr">
        <is>
          <t>Активна, если выбрана хотя бы одна услуга</t>
        </is>
      </c>
    </row>
    <row r="20">
      <c r="A20" s="9" t="inlineStr">
        <is>
          <t>B1</t>
        </is>
      </c>
      <c r="B20" s="9" t="inlineStr">
        <is>
          <t>Запись. Шаг 1 — Услуги</t>
        </is>
      </c>
      <c r="C20" s="9" t="inlineStr">
        <is>
          <t>L1</t>
        </is>
      </c>
      <c r="D20" s="9" t="inlineStr">
        <is>
          <t>Главная — лендинг</t>
        </is>
      </c>
      <c r="E20" s="9" t="inlineStr">
        <is>
          <t>Кнопка «Назад» и логотип</t>
        </is>
      </c>
      <c r="F20" s="9" t="inlineStr">
        <is>
          <t>Возврат</t>
        </is>
      </c>
      <c r="G20" s="9" t="inlineStr"/>
    </row>
    <row r="21">
      <c r="A21" s="10" t="inlineStr">
        <is>
          <t>B2</t>
        </is>
      </c>
      <c r="B21" s="10" t="inlineStr">
        <is>
          <t>Запись. Шаг 2 — Мастер</t>
        </is>
      </c>
      <c r="C21" s="10" t="inlineStr">
        <is>
          <t>B3</t>
        </is>
      </c>
      <c r="D21" s="10" t="inlineStr">
        <is>
          <t>Запись. Шаг 3 — Дата и время</t>
        </is>
      </c>
      <c r="E21" s="10" t="inlineStr">
        <is>
          <t>Кнопка «Далее»</t>
        </is>
      </c>
      <c r="F21" s="10" t="inlineStr">
        <is>
          <t>Основной</t>
        </is>
      </c>
      <c r="G21" s="10" t="inlineStr">
        <is>
          <t>Активна после выбора мастера или «Любой мастер»</t>
        </is>
      </c>
    </row>
    <row r="22">
      <c r="A22" s="9" t="inlineStr">
        <is>
          <t>B2</t>
        </is>
      </c>
      <c r="B22" s="9" t="inlineStr">
        <is>
          <t>Запись. Шаг 2 — Мастер</t>
        </is>
      </c>
      <c r="C22" s="9" t="inlineStr">
        <is>
          <t>B1</t>
        </is>
      </c>
      <c r="D22" s="9" t="inlineStr">
        <is>
          <t>Запись. Шаг 1 — Услуги</t>
        </is>
      </c>
      <c r="E22" s="9" t="inlineStr">
        <is>
          <t>Кнопка «Назад» и шаг «Услуги»</t>
        </is>
      </c>
      <c r="F22" s="9" t="inlineStr">
        <is>
          <t>Возврат</t>
        </is>
      </c>
      <c r="G22" s="9" t="inlineStr">
        <is>
          <t>Выбор услуг сохраняется</t>
        </is>
      </c>
    </row>
    <row r="23">
      <c r="A23" s="10" t="inlineStr">
        <is>
          <t>B3</t>
        </is>
      </c>
      <c r="B23" s="10" t="inlineStr">
        <is>
          <t>Запись. Шаг 3 — Дата и время</t>
        </is>
      </c>
      <c r="C23" s="10" t="inlineStr">
        <is>
          <t>B4</t>
        </is>
      </c>
      <c r="D23" s="10" t="inlineStr">
        <is>
          <t>Запись. Шаг 4 — Вход в процессе записи</t>
        </is>
      </c>
      <c r="E23" s="10" t="inlineStr">
        <is>
          <t>Кнопка «Далее» для гостя</t>
        </is>
      </c>
      <c r="F23" s="10" t="inlineStr">
        <is>
          <t>Основной</t>
        </is>
      </c>
      <c r="G23" s="10" t="inlineStr">
        <is>
          <t>Слот резервируется на 10 минут</t>
        </is>
      </c>
    </row>
    <row r="24">
      <c r="A24" s="9" t="inlineStr">
        <is>
          <t>B3</t>
        </is>
      </c>
      <c r="B24" s="9" t="inlineStr">
        <is>
          <t>Запись. Шаг 3 — Дата и время</t>
        </is>
      </c>
      <c r="C24" s="9" t="inlineStr">
        <is>
          <t>B5</t>
        </is>
      </c>
      <c r="D24" s="9" t="inlineStr">
        <is>
          <t>Запись. Шаг 5 — Подтверждение</t>
        </is>
      </c>
      <c r="E24" s="9" t="inlineStr">
        <is>
          <t>Кнопка «Далее» для авторизованного клиента</t>
        </is>
      </c>
      <c r="F24" s="9" t="inlineStr">
        <is>
          <t>Основной</t>
        </is>
      </c>
      <c r="G24" s="9" t="inlineStr">
        <is>
          <t>Шаг 4 пропускается, резерв уже идёт</t>
        </is>
      </c>
    </row>
    <row r="25">
      <c r="A25" s="10" t="inlineStr">
        <is>
          <t>B3</t>
        </is>
      </c>
      <c r="B25" s="10" t="inlineStr">
        <is>
          <t>Запись. Шаг 3 — Дата и время</t>
        </is>
      </c>
      <c r="C25" s="10" t="inlineStr">
        <is>
          <t>B2</t>
        </is>
      </c>
      <c r="D25" s="10" t="inlineStr">
        <is>
          <t>Запись. Шаг 2 — Мастер</t>
        </is>
      </c>
      <c r="E25" s="10" t="inlineStr">
        <is>
          <t>Кнопка «Назад» и шаг «Мастер»</t>
        </is>
      </c>
      <c r="F25" s="10" t="inlineStr">
        <is>
          <t>Возврат</t>
        </is>
      </c>
      <c r="G25" s="10" t="inlineStr">
        <is>
          <t>Выбранное время сбрасывается</t>
        </is>
      </c>
    </row>
    <row r="26">
      <c r="A26" s="9" t="inlineStr">
        <is>
          <t>B4</t>
        </is>
      </c>
      <c r="B26" s="9" t="inlineStr">
        <is>
          <t>Запись. Шаг 4 — Вход в процессе записи</t>
        </is>
      </c>
      <c r="C26" s="9" t="inlineStr">
        <is>
          <t>B5</t>
        </is>
      </c>
      <c r="D26" s="9" t="inlineStr">
        <is>
          <t>Запись. Шаг 5 — Подтверждение</t>
        </is>
      </c>
      <c r="E26" s="9" t="inlineStr">
        <is>
          <t>«Войти и продолжить» / «Создать аккаунт и продолжить»</t>
        </is>
      </c>
      <c r="F26" s="9" t="inlineStr">
        <is>
          <t>Основной</t>
        </is>
      </c>
      <c r="G26" s="9" t="inlineStr">
        <is>
          <t>Резерв продолжает идти</t>
        </is>
      </c>
    </row>
    <row r="27">
      <c r="A27" s="10" t="inlineStr">
        <is>
          <t>B4</t>
        </is>
      </c>
      <c r="B27" s="10" t="inlineStr">
        <is>
          <t>Запись. Шаг 4 — Вход в процессе записи</t>
        </is>
      </c>
      <c r="C27" s="10" t="inlineStr">
        <is>
          <t>B3</t>
        </is>
      </c>
      <c r="D27" s="10" t="inlineStr">
        <is>
          <t>Запись. Шаг 3 — Дата и время</t>
        </is>
      </c>
      <c r="E27" s="10" t="inlineStr">
        <is>
          <t>Кнопка «Назад»</t>
        </is>
      </c>
      <c r="F27" s="10" t="inlineStr">
        <is>
          <t>Возврат</t>
        </is>
      </c>
      <c r="G27" s="10" t="inlineStr">
        <is>
          <t>Резерв сохраняется</t>
        </is>
      </c>
    </row>
    <row r="28">
      <c r="A28" s="9" t="inlineStr">
        <is>
          <t>B4</t>
        </is>
      </c>
      <c r="B28" s="9" t="inlineStr">
        <is>
          <t>Запись. Шаг 4 — Вход в процессе записи</t>
        </is>
      </c>
      <c r="C28" s="9" t="inlineStr">
        <is>
          <t>C3</t>
        </is>
      </c>
      <c r="D28" s="9" t="inlineStr">
        <is>
          <t>Восстановление пароля — запрос</t>
        </is>
      </c>
      <c r="E28" s="9" t="inlineStr">
        <is>
          <t>Ссылка «Забыли пароль?»</t>
        </is>
      </c>
      <c r="F28" s="9" t="inlineStr">
        <is>
          <t>Основной</t>
        </is>
      </c>
      <c r="G28" s="9" t="inlineStr">
        <is>
          <t>Возврат на шаг 5 после смены пароля</t>
        </is>
      </c>
    </row>
    <row r="29">
      <c r="A29" s="10" t="inlineStr">
        <is>
          <t>B4</t>
        </is>
      </c>
      <c r="B29" s="10" t="inlineStr">
        <is>
          <t>Запись. Шаг 4 — Вход в процессе записи</t>
        </is>
      </c>
      <c r="C29" s="10" t="inlineStr">
        <is>
          <t>K1</t>
        </is>
      </c>
      <c r="D29" s="10" t="inlineStr">
        <is>
          <t>Личный кабинет — Предстоящие записи</t>
        </is>
      </c>
      <c r="E29" s="10" t="inlineStr">
        <is>
          <t>Кнопка «Открыть мои записи»</t>
        </is>
      </c>
      <c r="F29" s="10" t="inlineStr">
        <is>
          <t>Ошибка</t>
        </is>
      </c>
      <c r="G29" s="10" t="inlineStr">
        <is>
          <t>Состояние «У вас уже есть запись к этому мастеру на это время»</t>
        </is>
      </c>
    </row>
    <row r="30">
      <c r="A30" s="9" t="inlineStr">
        <is>
          <t>B5</t>
        </is>
      </c>
      <c r="B30" s="9" t="inlineStr">
        <is>
          <t>Запись. Шаг 5 — Подтверждение</t>
        </is>
      </c>
      <c r="C30" s="9" t="inlineStr">
        <is>
          <t>B6</t>
        </is>
      </c>
      <c r="D30" s="9" t="inlineStr">
        <is>
          <t>Запись подтверждена</t>
        </is>
      </c>
      <c r="E30" s="9" t="inlineStr">
        <is>
          <t>Кнопка «Подтвердить запись» / «Подтвердить перенос»</t>
        </is>
      </c>
      <c r="F30" s="9" t="inlineStr">
        <is>
          <t>Основной</t>
        </is>
      </c>
      <c r="G30" s="9" t="inlineStr"/>
    </row>
    <row r="31">
      <c r="A31" s="10" t="inlineStr">
        <is>
          <t>B5</t>
        </is>
      </c>
      <c r="B31" s="10" t="inlineStr">
        <is>
          <t>Запись. Шаг 5 — Подтверждение</t>
        </is>
      </c>
      <c r="C31" s="10" t="inlineStr">
        <is>
          <t>B1</t>
        </is>
      </c>
      <c r="D31" s="10" t="inlineStr">
        <is>
          <t>Запись. Шаг 1 — Услуги</t>
        </is>
      </c>
      <c r="E31" s="10" t="inlineStr">
        <is>
          <t>Ссылка «Изменить» у блока услуг</t>
        </is>
      </c>
      <c r="F31" s="10" t="inlineStr">
        <is>
          <t>Возврат</t>
        </is>
      </c>
      <c r="G31" s="10" t="inlineStr"/>
    </row>
    <row r="32">
      <c r="A32" s="9" t="inlineStr">
        <is>
          <t>B5</t>
        </is>
      </c>
      <c r="B32" s="9" t="inlineStr">
        <is>
          <t>Запись. Шаг 5 — Подтверждение</t>
        </is>
      </c>
      <c r="C32" s="9" t="inlineStr">
        <is>
          <t>B2</t>
        </is>
      </c>
      <c r="D32" s="9" t="inlineStr">
        <is>
          <t>Запись. Шаг 2 — Мастер</t>
        </is>
      </c>
      <c r="E32" s="9" t="inlineStr">
        <is>
          <t>Ссылка «Изменить» у блока мастера</t>
        </is>
      </c>
      <c r="F32" s="9" t="inlineStr">
        <is>
          <t>Возврат</t>
        </is>
      </c>
      <c r="G32" s="9" t="inlineStr"/>
    </row>
    <row r="33">
      <c r="A33" s="10" t="inlineStr">
        <is>
          <t>B5</t>
        </is>
      </c>
      <c r="B33" s="10" t="inlineStr">
        <is>
          <t>Запись. Шаг 5 — Подтверждение</t>
        </is>
      </c>
      <c r="C33" s="10" t="inlineStr">
        <is>
          <t>B3</t>
        </is>
      </c>
      <c r="D33" s="10" t="inlineStr">
        <is>
          <t>Запись. Шаг 3 — Дата и время</t>
        </is>
      </c>
      <c r="E33" s="10" t="inlineStr">
        <is>
          <t>Ссылка «Изменить» у блока времени, кнопка «Назад»</t>
        </is>
      </c>
      <c r="F33" s="10" t="inlineStr">
        <is>
          <t>Возврат</t>
        </is>
      </c>
      <c r="G33" s="10" t="inlineStr"/>
    </row>
    <row r="34">
      <c r="A34" s="9" t="inlineStr">
        <is>
          <t>B5</t>
        </is>
      </c>
      <c r="B34" s="9" t="inlineStr">
        <is>
          <t>Запись. Шаг 5 — Подтверждение</t>
        </is>
      </c>
      <c r="C34" s="9" t="inlineStr">
        <is>
          <t>B3</t>
        </is>
      </c>
      <c r="D34" s="9" t="inlineStr">
        <is>
          <t>Запись. Шаг 3 — Дата и время</t>
        </is>
      </c>
      <c r="E34" s="9" t="inlineStr">
        <is>
          <t>Кнопка «Выбрать другое время»</t>
        </is>
      </c>
      <c r="F34" s="9" t="inlineStr">
        <is>
          <t>Ошибка</t>
        </is>
      </c>
      <c r="G34" s="9" t="inlineStr">
        <is>
          <t>Состояния «Время заняли» и «Резерв истёк»</t>
        </is>
      </c>
    </row>
    <row r="35">
      <c r="A35" s="10" t="inlineStr">
        <is>
          <t>B6</t>
        </is>
      </c>
      <c r="B35" s="10" t="inlineStr">
        <is>
          <t>Запись подтверждена</t>
        </is>
      </c>
      <c r="C35" s="10" t="inlineStr">
        <is>
          <t>K1</t>
        </is>
      </c>
      <c r="D35" s="10" t="inlineStr">
        <is>
          <t>Личный кабинет — Предстоящие записи</t>
        </is>
      </c>
      <c r="E35" s="10" t="inlineStr">
        <is>
          <t>Кнопка «Мои записи»</t>
        </is>
      </c>
      <c r="F35" s="10" t="inlineStr">
        <is>
          <t>Основной</t>
        </is>
      </c>
      <c r="G35" s="10" t="inlineStr"/>
    </row>
    <row r="36">
      <c r="A36" s="9" t="inlineStr">
        <is>
          <t>B6</t>
        </is>
      </c>
      <c r="B36" s="9" t="inlineStr">
        <is>
          <t>Запись подтверждена</t>
        </is>
      </c>
      <c r="C36" s="9" t="inlineStr">
        <is>
          <t>L1</t>
        </is>
      </c>
      <c r="D36" s="9" t="inlineStr">
        <is>
          <t>Главная — лендинг</t>
        </is>
      </c>
      <c r="E36" s="9" t="inlineStr">
        <is>
          <t>Кнопка «На главную»</t>
        </is>
      </c>
      <c r="F36" s="9" t="inlineStr">
        <is>
          <t>Возврат</t>
        </is>
      </c>
      <c r="G36" s="9" t="inlineStr"/>
    </row>
    <row r="37">
      <c r="A37" s="10" t="inlineStr">
        <is>
          <t>K1</t>
        </is>
      </c>
      <c r="B37" s="10" t="inlineStr">
        <is>
          <t>Личный кабинет — Предстоящие записи</t>
        </is>
      </c>
      <c r="C37" s="10" t="inlineStr">
        <is>
          <t>K2</t>
        </is>
      </c>
      <c r="D37" s="10" t="inlineStr">
        <is>
          <t>Личный кабинет — История</t>
        </is>
      </c>
      <c r="E37" s="10" t="inlineStr">
        <is>
          <t>Вкладка «История»</t>
        </is>
      </c>
      <c r="F37" s="10" t="inlineStr">
        <is>
          <t>Меню</t>
        </is>
      </c>
      <c r="G37" s="10" t="inlineStr"/>
    </row>
    <row r="38">
      <c r="A38" s="9" t="inlineStr">
        <is>
          <t>K1</t>
        </is>
      </c>
      <c r="B38" s="9" t="inlineStr">
        <is>
          <t>Личный кабинет — Предстоящие записи</t>
        </is>
      </c>
      <c r="C38" s="9" t="inlineStr">
        <is>
          <t>K3</t>
        </is>
      </c>
      <c r="D38" s="9" t="inlineStr">
        <is>
          <t>Перенос записи</t>
        </is>
      </c>
      <c r="E38" s="9" t="inlineStr">
        <is>
          <t>Кнопка «Перенести»</t>
        </is>
      </c>
      <c r="F38" s="9" t="inlineStr">
        <is>
          <t>Основной</t>
        </is>
      </c>
      <c r="G38" s="9" t="inlineStr">
        <is>
          <t>Недоступна при лимите 3 переноса и поздней отмене</t>
        </is>
      </c>
    </row>
    <row r="39">
      <c r="A39" s="10" t="inlineStr">
        <is>
          <t>K1</t>
        </is>
      </c>
      <c r="B39" s="10" t="inlineStr">
        <is>
          <t>Личный кабинет — Предстоящие записи</t>
        </is>
      </c>
      <c r="C39" s="10" t="inlineStr">
        <is>
          <t>K4</t>
        </is>
      </c>
      <c r="D39" s="10" t="inlineStr">
        <is>
          <t>Личный кабинет — Уведомления</t>
        </is>
      </c>
      <c r="E39" s="10" t="inlineStr">
        <is>
          <t>Иконка уведомлений</t>
        </is>
      </c>
      <c r="F39" s="10" t="inlineStr">
        <is>
          <t>Меню</t>
        </is>
      </c>
      <c r="G39" s="10" t="inlineStr"/>
    </row>
    <row r="40">
      <c r="A40" s="9" t="inlineStr">
        <is>
          <t>K1</t>
        </is>
      </c>
      <c r="B40" s="9" t="inlineStr">
        <is>
          <t>Личный кабинет — Предстоящие записи</t>
        </is>
      </c>
      <c r="C40" s="9" t="inlineStr">
        <is>
          <t>K5</t>
        </is>
      </c>
      <c r="D40" s="9" t="inlineStr">
        <is>
          <t>Личный кабинет — Профиль</t>
        </is>
      </c>
      <c r="E40" s="9" t="inlineStr">
        <is>
          <t>Имя клиента в шапке</t>
        </is>
      </c>
      <c r="F40" s="9" t="inlineStr">
        <is>
          <t>Меню</t>
        </is>
      </c>
      <c r="G40" s="9" t="inlineStr"/>
    </row>
    <row r="41">
      <c r="A41" s="10" t="inlineStr">
        <is>
          <t>K1</t>
        </is>
      </c>
      <c r="B41" s="10" t="inlineStr">
        <is>
          <t>Личный кабинет — Предстоящие записи</t>
        </is>
      </c>
      <c r="C41" s="10" t="inlineStr">
        <is>
          <t>B1</t>
        </is>
      </c>
      <c r="D41" s="10" t="inlineStr">
        <is>
          <t>Запись. Шаг 1 — Услуги</t>
        </is>
      </c>
      <c r="E41" s="10" t="inlineStr">
        <is>
          <t>Кнопка «Записаться»</t>
        </is>
      </c>
      <c r="F41" s="10" t="inlineStr">
        <is>
          <t>Основной</t>
        </is>
      </c>
      <c r="G41" s="10" t="inlineStr"/>
    </row>
    <row r="42">
      <c r="A42" s="9" t="inlineStr">
        <is>
          <t>K1</t>
        </is>
      </c>
      <c r="B42" s="9" t="inlineStr">
        <is>
          <t>Личный кабинет — Предстоящие записи</t>
        </is>
      </c>
      <c r="C42" s="9" t="inlineStr">
        <is>
          <t>K2</t>
        </is>
      </c>
      <c r="D42" s="9" t="inlineStr">
        <is>
          <t>Личный кабинет — История</t>
        </is>
      </c>
      <c r="E42" s="9" t="inlineStr">
        <is>
          <t>Подтверждение отмены записи</t>
        </is>
      </c>
      <c r="F42" s="9" t="inlineStr">
        <is>
          <t>Основной</t>
        </is>
      </c>
      <c r="G42" s="9" t="inlineStr">
        <is>
          <t>Запись меняет статус и уходит в историю, слот освобождается</t>
        </is>
      </c>
    </row>
    <row r="43">
      <c r="A43" s="10" t="inlineStr">
        <is>
          <t>K1</t>
        </is>
      </c>
      <c r="B43" s="10" t="inlineStr">
        <is>
          <t>Личный кабинет — Предстоящие записи</t>
        </is>
      </c>
      <c r="C43" s="10" t="inlineStr">
        <is>
          <t>L1</t>
        </is>
      </c>
      <c r="D43" s="10" t="inlineStr">
        <is>
          <t>Главная — лендинг</t>
        </is>
      </c>
      <c r="E43" s="10" t="inlineStr">
        <is>
          <t>Логотип</t>
        </is>
      </c>
      <c r="F43" s="10" t="inlineStr">
        <is>
          <t>Возврат</t>
        </is>
      </c>
      <c r="G43" s="10" t="inlineStr"/>
    </row>
    <row r="44">
      <c r="A44" s="9" t="inlineStr">
        <is>
          <t>K2</t>
        </is>
      </c>
      <c r="B44" s="9" t="inlineStr">
        <is>
          <t>Личный кабинет — История</t>
        </is>
      </c>
      <c r="C44" s="9" t="inlineStr">
        <is>
          <t>K1</t>
        </is>
      </c>
      <c r="D44" s="9" t="inlineStr">
        <is>
          <t>Личный кабинет — Предстоящие записи</t>
        </is>
      </c>
      <c r="E44" s="9" t="inlineStr">
        <is>
          <t>Вкладка «Предстоящие»</t>
        </is>
      </c>
      <c r="F44" s="9" t="inlineStr">
        <is>
          <t>Меню</t>
        </is>
      </c>
      <c r="G44" s="9" t="inlineStr"/>
    </row>
    <row r="45">
      <c r="A45" s="10" t="inlineStr">
        <is>
          <t>K2</t>
        </is>
      </c>
      <c r="B45" s="10" t="inlineStr">
        <is>
          <t>Личный кабинет — История</t>
        </is>
      </c>
      <c r="C45" s="10" t="inlineStr">
        <is>
          <t>B1</t>
        </is>
      </c>
      <c r="D45" s="10" t="inlineStr">
        <is>
          <t>Запись. Шаг 1 — Услуги</t>
        </is>
      </c>
      <c r="E45" s="10" t="inlineStr">
        <is>
          <t>Кнопка «Записаться ещё раз»</t>
        </is>
      </c>
      <c r="F45" s="10" t="inlineStr">
        <is>
          <t>Основной</t>
        </is>
      </c>
      <c r="G45" s="10" t="inlineStr">
        <is>
          <t>Услуги прошлой записи отмечены заранее</t>
        </is>
      </c>
    </row>
    <row r="46">
      <c r="A46" s="9" t="inlineStr">
        <is>
          <t>K3</t>
        </is>
      </c>
      <c r="B46" s="9" t="inlineStr">
        <is>
          <t>Перенос записи</t>
        </is>
      </c>
      <c r="C46" s="9" t="inlineStr">
        <is>
          <t>B5</t>
        </is>
      </c>
      <c r="D46" s="9" t="inlineStr">
        <is>
          <t>Запись. Шаг 5 — Подтверждение</t>
        </is>
      </c>
      <c r="E46" s="9" t="inlineStr">
        <is>
          <t>Кнопка «Далее»</t>
        </is>
      </c>
      <c r="F46" s="9" t="inlineStr">
        <is>
          <t>Основной</t>
        </is>
      </c>
      <c r="G46" s="9" t="inlineStr">
        <is>
          <t>Экран подтверждения в режиме переноса</t>
        </is>
      </c>
    </row>
    <row r="47">
      <c r="A47" s="10" t="inlineStr">
        <is>
          <t>K3</t>
        </is>
      </c>
      <c r="B47" s="10" t="inlineStr">
        <is>
          <t>Перенос записи</t>
        </is>
      </c>
      <c r="C47" s="10" t="inlineStr">
        <is>
          <t>K1</t>
        </is>
      </c>
      <c r="D47" s="10" t="inlineStr">
        <is>
          <t>Личный кабинет — Предстоящие записи</t>
        </is>
      </c>
      <c r="E47" s="10" t="inlineStr">
        <is>
          <t>Кнопка «Отмена»</t>
        </is>
      </c>
      <c r="F47" s="10" t="inlineStr">
        <is>
          <t>Возврат</t>
        </is>
      </c>
      <c r="G47" s="10" t="inlineStr">
        <is>
          <t>Старое время остаётся за клиентом</t>
        </is>
      </c>
    </row>
    <row r="48">
      <c r="A48" s="9" t="inlineStr">
        <is>
          <t>K4</t>
        </is>
      </c>
      <c r="B48" s="9" t="inlineStr">
        <is>
          <t>Личный кабинет — Уведомления</t>
        </is>
      </c>
      <c r="C48" s="9" t="inlineStr">
        <is>
          <t>K1</t>
        </is>
      </c>
      <c r="D48" s="9" t="inlineStr">
        <is>
          <t>Личный кабинет — Предстоящие записи</t>
        </is>
      </c>
      <c r="E48" s="9" t="inlineStr">
        <is>
          <t>Переход из уведомления к записи</t>
        </is>
      </c>
      <c r="F48" s="9" t="inlineStr">
        <is>
          <t>Основной</t>
        </is>
      </c>
      <c r="G48" s="9" t="inlineStr"/>
    </row>
    <row r="49">
      <c r="A49" s="10" t="inlineStr">
        <is>
          <t>K4</t>
        </is>
      </c>
      <c r="B49" s="10" t="inlineStr">
        <is>
          <t>Личный кабинет — Уведомления</t>
        </is>
      </c>
      <c r="C49" s="10" t="inlineStr">
        <is>
          <t>K1</t>
        </is>
      </c>
      <c r="D49" s="10" t="inlineStr">
        <is>
          <t>Личный кабинет — Предстоящие записи</t>
        </is>
      </c>
      <c r="E49" s="10" t="inlineStr">
        <is>
          <t>Пункт меню «Предстоящие»</t>
        </is>
      </c>
      <c r="F49" s="10" t="inlineStr">
        <is>
          <t>Меню</t>
        </is>
      </c>
      <c r="G49" s="10" t="inlineStr"/>
    </row>
    <row r="50">
      <c r="A50" s="9" t="inlineStr">
        <is>
          <t>K5</t>
        </is>
      </c>
      <c r="B50" s="9" t="inlineStr">
        <is>
          <t>Личный кабинет — Профиль</t>
        </is>
      </c>
      <c r="C50" s="9" t="inlineStr">
        <is>
          <t>K1</t>
        </is>
      </c>
      <c r="D50" s="9" t="inlineStr">
        <is>
          <t>Личный кабинет — Предстоящие записи</t>
        </is>
      </c>
      <c r="E50" s="9" t="inlineStr">
        <is>
          <t>Пункт меню «Предстоящие»</t>
        </is>
      </c>
      <c r="F50" s="9" t="inlineStr">
        <is>
          <t>Меню</t>
        </is>
      </c>
      <c r="G50" s="9" t="inlineStr"/>
    </row>
    <row r="51">
      <c r="A51" s="10" t="inlineStr">
        <is>
          <t>K5</t>
        </is>
      </c>
      <c r="B51" s="10" t="inlineStr">
        <is>
          <t>Личный кабинет — Профиль</t>
        </is>
      </c>
      <c r="C51" s="10" t="inlineStr">
        <is>
          <t>L1</t>
        </is>
      </c>
      <c r="D51" s="10" t="inlineStr">
        <is>
          <t>Главная — лендинг</t>
        </is>
      </c>
      <c r="E51" s="10" t="inlineStr">
        <is>
          <t>Кнопка «Выйти»</t>
        </is>
      </c>
      <c r="F51" s="10" t="inlineStr">
        <is>
          <t>Возврат</t>
        </is>
      </c>
      <c r="G51" s="10" t="inlineStr"/>
    </row>
    <row r="52">
      <c r="A52" s="9" t="inlineStr">
        <is>
          <t>M1</t>
        </is>
      </c>
      <c r="B52" s="9" t="inlineStr">
        <is>
          <t>Вход мастера</t>
        </is>
      </c>
      <c r="C52" s="9" t="inlineStr">
        <is>
          <t>M2</t>
        </is>
      </c>
      <c r="D52" s="9" t="inlineStr">
        <is>
          <t>Мастер — Мой день</t>
        </is>
      </c>
      <c r="E52" s="9" t="inlineStr">
        <is>
          <t>Кнопка «Войти»</t>
        </is>
      </c>
      <c r="F52" s="9" t="inlineStr">
        <is>
          <t>Основной</t>
        </is>
      </c>
      <c r="G52" s="9" t="inlineStr"/>
    </row>
    <row r="53">
      <c r="A53" s="10" t="inlineStr">
        <is>
          <t>M1</t>
        </is>
      </c>
      <c r="B53" s="10" t="inlineStr">
        <is>
          <t>Вход мастера</t>
        </is>
      </c>
      <c r="C53" s="10" t="inlineStr">
        <is>
          <t>C1</t>
        </is>
      </c>
      <c r="D53" s="10" t="inlineStr">
        <is>
          <t>Вход</t>
        </is>
      </c>
      <c r="E53" s="10" t="inlineStr">
        <is>
          <t>Ссылка «Я клиент»</t>
        </is>
      </c>
      <c r="F53" s="10" t="inlineStr">
        <is>
          <t>Меню</t>
        </is>
      </c>
      <c r="G53" s="10" t="inlineStr"/>
    </row>
    <row r="54">
      <c r="A54" s="9" t="inlineStr">
        <is>
          <t>M2</t>
        </is>
      </c>
      <c r="B54" s="9" t="inlineStr">
        <is>
          <t>Мастер — Мой день</t>
        </is>
      </c>
      <c r="C54" s="9" t="inlineStr">
        <is>
          <t>M3</t>
        </is>
      </c>
      <c r="D54" s="9" t="inlineStr">
        <is>
          <t>Мастер — Расписание</t>
        </is>
      </c>
      <c r="E54" s="9" t="inlineStr">
        <is>
          <t>Пункт меню «Расписание»</t>
        </is>
      </c>
      <c r="F54" s="9" t="inlineStr">
        <is>
          <t>Меню</t>
        </is>
      </c>
      <c r="G54" s="9" t="inlineStr"/>
    </row>
    <row r="55">
      <c r="A55" s="10" t="inlineStr">
        <is>
          <t>M2</t>
        </is>
      </c>
      <c r="B55" s="10" t="inlineStr">
        <is>
          <t>Мастер — Мой день</t>
        </is>
      </c>
      <c r="C55" s="10" t="inlineStr">
        <is>
          <t>M4</t>
        </is>
      </c>
      <c r="D55" s="10" t="inlineStr">
        <is>
          <t>Мастер — Профиль</t>
        </is>
      </c>
      <c r="E55" s="10" t="inlineStr">
        <is>
          <t>Пункт меню «Профиль»</t>
        </is>
      </c>
      <c r="F55" s="10" t="inlineStr">
        <is>
          <t>Меню</t>
        </is>
      </c>
      <c r="G55" s="10" t="inlineStr"/>
    </row>
    <row r="56">
      <c r="A56" s="9" t="inlineStr">
        <is>
          <t>M2</t>
        </is>
      </c>
      <c r="B56" s="9" t="inlineStr">
        <is>
          <t>Мастер — Мой день</t>
        </is>
      </c>
      <c r="C56" s="9" t="inlineStr">
        <is>
          <t>M2</t>
        </is>
      </c>
      <c r="D56" s="9" t="inlineStr">
        <is>
          <t>Мастер — Мой день</t>
        </is>
      </c>
      <c r="E56" s="9" t="inlineStr">
        <is>
          <t>«Завершена», «Не пришёл», «Отменить», «Перенести»</t>
        </is>
      </c>
      <c r="F56" s="9" t="inlineStr">
        <is>
          <t>Основной</t>
        </is>
      </c>
      <c r="G56" s="9" t="inlineStr">
        <is>
          <t>Действия обновляют карточку на том же экране</t>
        </is>
      </c>
    </row>
    <row r="57">
      <c r="A57" s="10" t="inlineStr">
        <is>
          <t>M2</t>
        </is>
      </c>
      <c r="B57" s="10" t="inlineStr">
        <is>
          <t>Мастер — Мой день</t>
        </is>
      </c>
      <c r="C57" s="10" t="inlineStr">
        <is>
          <t>M1</t>
        </is>
      </c>
      <c r="D57" s="10" t="inlineStr">
        <is>
          <t>Вход мастера</t>
        </is>
      </c>
      <c r="E57" s="10" t="inlineStr">
        <is>
          <t>Кнопка «Выйти»</t>
        </is>
      </c>
      <c r="F57" s="10" t="inlineStr">
        <is>
          <t>Возврат</t>
        </is>
      </c>
      <c r="G57" s="10" t="inlineStr"/>
    </row>
    <row r="58">
      <c r="A58" s="9" t="inlineStr">
        <is>
          <t>M3</t>
        </is>
      </c>
      <c r="B58" s="9" t="inlineStr">
        <is>
          <t>Мастер — Расписание</t>
        </is>
      </c>
      <c r="C58" s="9" t="inlineStr">
        <is>
          <t>M2</t>
        </is>
      </c>
      <c r="D58" s="9" t="inlineStr">
        <is>
          <t>Мастер — Мой день</t>
        </is>
      </c>
      <c r="E58" s="9" t="inlineStr">
        <is>
          <t>Пункт меню «Мой день»</t>
        </is>
      </c>
      <c r="F58" s="9" t="inlineStr">
        <is>
          <t>Меню</t>
        </is>
      </c>
      <c r="G58" s="9" t="inlineStr"/>
    </row>
    <row r="59">
      <c r="A59" s="10" t="inlineStr">
        <is>
          <t>M3</t>
        </is>
      </c>
      <c r="B59" s="10" t="inlineStr">
        <is>
          <t>Мастер — Расписание</t>
        </is>
      </c>
      <c r="C59" s="10" t="inlineStr">
        <is>
          <t>M4</t>
        </is>
      </c>
      <c r="D59" s="10" t="inlineStr">
        <is>
          <t>Мастер — Профиль</t>
        </is>
      </c>
      <c r="E59" s="10" t="inlineStr">
        <is>
          <t>Пункт меню «Профиль»</t>
        </is>
      </c>
      <c r="F59" s="10" t="inlineStr">
        <is>
          <t>Меню</t>
        </is>
      </c>
      <c r="G59" s="10" t="inlineStr"/>
    </row>
    <row r="60">
      <c r="A60" s="9" t="inlineStr">
        <is>
          <t>M3</t>
        </is>
      </c>
      <c r="B60" s="9" t="inlineStr">
        <is>
          <t>Мастер — Расписание</t>
        </is>
      </c>
      <c r="C60" s="9" t="inlineStr">
        <is>
          <t>M3</t>
        </is>
      </c>
      <c r="D60" s="9" t="inlineStr">
        <is>
          <t>Мастер — Расписание</t>
        </is>
      </c>
      <c r="E60" s="9" t="inlineStr">
        <is>
          <t>«Закрыть время», «Предложить изменение графика»</t>
        </is>
      </c>
      <c r="F60" s="9" t="inlineStr">
        <is>
          <t>Основной</t>
        </is>
      </c>
      <c r="G60" s="9" t="inlineStr">
        <is>
          <t>Заявка уходит администратору на экран «Графики»</t>
        </is>
      </c>
    </row>
    <row r="61">
      <c r="A61" s="10" t="inlineStr">
        <is>
          <t>M4</t>
        </is>
      </c>
      <c r="B61" s="10" t="inlineStr">
        <is>
          <t>Мастер — Профиль</t>
        </is>
      </c>
      <c r="C61" s="10" t="inlineStr">
        <is>
          <t>M2</t>
        </is>
      </c>
      <c r="D61" s="10" t="inlineStr">
        <is>
          <t>Мастер — Мой день</t>
        </is>
      </c>
      <c r="E61" s="10" t="inlineStr">
        <is>
          <t>Пункт меню «Мой день»</t>
        </is>
      </c>
      <c r="F61" s="10" t="inlineStr">
        <is>
          <t>Меню</t>
        </is>
      </c>
      <c r="G61" s="10" t="inlineStr"/>
    </row>
    <row r="62">
      <c r="A62" s="9" t="inlineStr">
        <is>
          <t>M4</t>
        </is>
      </c>
      <c r="B62" s="9" t="inlineStr">
        <is>
          <t>Мастер — Профиль</t>
        </is>
      </c>
      <c r="C62" s="9" t="inlineStr">
        <is>
          <t>M1</t>
        </is>
      </c>
      <c r="D62" s="9" t="inlineStr">
        <is>
          <t>Вход мастера</t>
        </is>
      </c>
      <c r="E62" s="9" t="inlineStr">
        <is>
          <t>Кнопка «Выйти»</t>
        </is>
      </c>
      <c r="F62" s="9" t="inlineStr">
        <is>
          <t>Возврат</t>
        </is>
      </c>
      <c r="G62" s="9" t="inlineStr"/>
    </row>
    <row r="63">
      <c r="A63" s="10" t="inlineStr">
        <is>
          <t>A1</t>
        </is>
      </c>
      <c r="B63" s="10" t="inlineStr">
        <is>
          <t>Вход администратора</t>
        </is>
      </c>
      <c r="C63" s="10" t="inlineStr">
        <is>
          <t>A2</t>
        </is>
      </c>
      <c r="D63" s="10" t="inlineStr">
        <is>
          <t>Админ — Сегодня</t>
        </is>
      </c>
      <c r="E63" s="10" t="inlineStr">
        <is>
          <t>Кнопка «Войти»</t>
        </is>
      </c>
      <c r="F63" s="10" t="inlineStr">
        <is>
          <t>Основной</t>
        </is>
      </c>
      <c r="G63" s="10" t="inlineStr"/>
    </row>
    <row r="64">
      <c r="A64" s="9" t="inlineStr">
        <is>
          <t>A2</t>
        </is>
      </c>
      <c r="B64" s="9" t="inlineStr">
        <is>
          <t>Админ — Сегодня</t>
        </is>
      </c>
      <c r="C64" s="9" t="inlineStr">
        <is>
          <t>A3</t>
        </is>
      </c>
      <c r="D64" s="9" t="inlineStr">
        <is>
          <t>Админ — Расписание дня</t>
        </is>
      </c>
      <c r="E64" s="9" t="inlineStr">
        <is>
          <t>Плитка «Ближайшие записи»</t>
        </is>
      </c>
      <c r="F64" s="9" t="inlineStr">
        <is>
          <t>Основной</t>
        </is>
      </c>
      <c r="G64" s="9" t="inlineStr"/>
    </row>
    <row r="65">
      <c r="A65" s="10" t="inlineStr">
        <is>
          <t>A2</t>
        </is>
      </c>
      <c r="B65" s="10" t="inlineStr">
        <is>
          <t>Админ — Сегодня</t>
        </is>
      </c>
      <c r="C65" s="10" t="inlineStr">
        <is>
          <t>A4</t>
        </is>
      </c>
      <c r="D65" s="10" t="inlineStr">
        <is>
          <t>Админ — Записи</t>
        </is>
      </c>
      <c r="E65" s="10" t="inlineStr">
        <is>
          <t>Кнопка «Создать запись»</t>
        </is>
      </c>
      <c r="F65" s="10" t="inlineStr">
        <is>
          <t>Основной</t>
        </is>
      </c>
      <c r="G65" s="10" t="inlineStr"/>
    </row>
    <row r="66">
      <c r="A66" s="9" t="inlineStr">
        <is>
          <t>A2</t>
        </is>
      </c>
      <c r="B66" s="9" t="inlineStr">
        <is>
          <t>Админ — Сегодня</t>
        </is>
      </c>
      <c r="C66" s="9" t="inlineStr">
        <is>
          <t>A7</t>
        </is>
      </c>
      <c r="D66" s="9" t="inlineStr">
        <is>
          <t>Админ — Графики</t>
        </is>
      </c>
      <c r="E66" s="9" t="inlineStr">
        <is>
          <t>Заявка мастера в блоке «Требует внимания»</t>
        </is>
      </c>
      <c r="F66" s="9" t="inlineStr">
        <is>
          <t>Основной</t>
        </is>
      </c>
      <c r="G66" s="9" t="inlineStr"/>
    </row>
    <row r="67">
      <c r="A67" s="10" t="inlineStr">
        <is>
          <t>A2</t>
        </is>
      </c>
      <c r="B67" s="10" t="inlineStr">
        <is>
          <t>Админ — Сегодня</t>
        </is>
      </c>
      <c r="C67" s="10" t="inlineStr">
        <is>
          <t>A1</t>
        </is>
      </c>
      <c r="D67" s="10" t="inlineStr">
        <is>
          <t>Вход администратора</t>
        </is>
      </c>
      <c r="E67" s="10" t="inlineStr">
        <is>
          <t>Кнопка «Выйти»</t>
        </is>
      </c>
      <c r="F67" s="10" t="inlineStr">
        <is>
          <t>Возврат</t>
        </is>
      </c>
      <c r="G67" s="10" t="inlineStr"/>
    </row>
    <row r="68">
      <c r="A68" s="9" t="inlineStr">
        <is>
          <t>A3</t>
        </is>
      </c>
      <c r="B68" s="9" t="inlineStr">
        <is>
          <t>Админ — Расписание дня</t>
        </is>
      </c>
      <c r="C68" s="9" t="inlineStr">
        <is>
          <t>A4</t>
        </is>
      </c>
      <c r="D68" s="9" t="inlineStr">
        <is>
          <t>Админ — Записи</t>
        </is>
      </c>
      <c r="E68" s="9" t="inlineStr">
        <is>
          <t>Ссылка «Все записи дня»</t>
        </is>
      </c>
      <c r="F68" s="9" t="inlineStr">
        <is>
          <t>Основной</t>
        </is>
      </c>
      <c r="G68" s="9" t="inlineStr"/>
    </row>
    <row r="69">
      <c r="A69" s="10" t="inlineStr">
        <is>
          <t>A3</t>
        </is>
      </c>
      <c r="B69" s="10" t="inlineStr">
        <is>
          <t>Админ — Расписание дня</t>
        </is>
      </c>
      <c r="C69" s="10" t="inlineStr">
        <is>
          <t>A3</t>
        </is>
      </c>
      <c r="D69" s="10" t="inlineStr">
        <is>
          <t>Админ — Расписание дня</t>
        </is>
      </c>
      <c r="E69" s="10" t="inlineStr">
        <is>
          <t>Панель деталей записи: статусы, отмена, освобождение слота</t>
        </is>
      </c>
      <c r="F69" s="10" t="inlineStr">
        <is>
          <t>Основной</t>
        </is>
      </c>
      <c r="G69" s="10" t="inlineStr">
        <is>
          <t>Действие на том же экране</t>
        </is>
      </c>
    </row>
    <row r="70">
      <c r="A70" s="9" t="inlineStr">
        <is>
          <t>A3</t>
        </is>
      </c>
      <c r="B70" s="9" t="inlineStr">
        <is>
          <t>Админ — Расписание дня</t>
        </is>
      </c>
      <c r="C70" s="9" t="inlineStr">
        <is>
          <t>A4</t>
        </is>
      </c>
      <c r="D70" s="9" t="inlineStr">
        <is>
          <t>Админ — Записи</t>
        </is>
      </c>
      <c r="E70" s="9" t="inlineStr">
        <is>
          <t>Создание записи из свободного промежутка</t>
        </is>
      </c>
      <c r="F70" s="9" t="inlineStr">
        <is>
          <t>Основной</t>
        </is>
      </c>
      <c r="G70" s="9" t="inlineStr">
        <is>
          <t>Модальное окно создания записи</t>
        </is>
      </c>
    </row>
    <row r="71">
      <c r="A71" s="10" t="inlineStr">
        <is>
          <t>A4</t>
        </is>
      </c>
      <c r="B71" s="10" t="inlineStr">
        <is>
          <t>Админ — Записи</t>
        </is>
      </c>
      <c r="C71" s="10" t="inlineStr">
        <is>
          <t>A3</t>
        </is>
      </c>
      <c r="D71" s="10" t="inlineStr">
        <is>
          <t>Админ — Расписание дня</t>
        </is>
      </c>
      <c r="E71" s="10" t="inlineStr">
        <is>
          <t>Ссылка «Показать в расписании»</t>
        </is>
      </c>
      <c r="F71" s="10" t="inlineStr">
        <is>
          <t>Основной</t>
        </is>
      </c>
      <c r="G71" s="10" t="inlineStr"/>
    </row>
    <row r="72">
      <c r="A72" s="9" t="inlineStr">
        <is>
          <t>A4</t>
        </is>
      </c>
      <c r="B72" s="9" t="inlineStr">
        <is>
          <t>Админ — Записи</t>
        </is>
      </c>
      <c r="C72" s="9" t="inlineStr">
        <is>
          <t>A8</t>
        </is>
      </c>
      <c r="D72" s="9" t="inlineStr">
        <is>
          <t>Админ — Клиенты</t>
        </is>
      </c>
      <c r="E72" s="9" t="inlineStr">
        <is>
          <t>Переход к карточке клиента из строки записи</t>
        </is>
      </c>
      <c r="F72" s="9" t="inlineStr">
        <is>
          <t>Основной</t>
        </is>
      </c>
      <c r="G72" s="9" t="inlineStr"/>
    </row>
    <row r="73">
      <c r="A73" s="10" t="inlineStr">
        <is>
          <t>A4</t>
        </is>
      </c>
      <c r="B73" s="10" t="inlineStr">
        <is>
          <t>Админ — Записи</t>
        </is>
      </c>
      <c r="C73" s="10" t="inlineStr">
        <is>
          <t>A4</t>
        </is>
      </c>
      <c r="D73" s="10" t="inlineStr">
        <is>
          <t>Админ — Записи</t>
        </is>
      </c>
      <c r="E73" s="10" t="inlineStr">
        <is>
          <t>Создание записи, смена статуса, отмена и перенос</t>
        </is>
      </c>
      <c r="F73" s="10" t="inlineStr">
        <is>
          <t>Основной</t>
        </is>
      </c>
      <c r="G73" s="10" t="inlineStr">
        <is>
          <t>Модальные окна на том же экране</t>
        </is>
      </c>
    </row>
    <row r="74">
      <c r="A74" s="9" t="inlineStr">
        <is>
          <t>A5</t>
        </is>
      </c>
      <c r="B74" s="9" t="inlineStr">
        <is>
          <t>Админ — Услуги</t>
        </is>
      </c>
      <c r="C74" s="9" t="inlineStr">
        <is>
          <t>A6</t>
        </is>
      </c>
      <c r="D74" s="9" t="inlineStr">
        <is>
          <t>Админ — Мастера</t>
        </is>
      </c>
      <c r="E74" s="9" t="inlineStr">
        <is>
          <t>Ссылка «Мастера услуги»</t>
        </is>
      </c>
      <c r="F74" s="9" t="inlineStr">
        <is>
          <t>Основной</t>
        </is>
      </c>
      <c r="G74" s="9" t="inlineStr"/>
    </row>
    <row r="75">
      <c r="A75" s="10" t="inlineStr">
        <is>
          <t>A6</t>
        </is>
      </c>
      <c r="B75" s="10" t="inlineStr">
        <is>
          <t>Админ — Мастера</t>
        </is>
      </c>
      <c r="C75" s="10" t="inlineStr">
        <is>
          <t>A7</t>
        </is>
      </c>
      <c r="D75" s="10" t="inlineStr">
        <is>
          <t>Админ — Графики</t>
        </is>
      </c>
      <c r="E75" s="10" t="inlineStr">
        <is>
          <t>Кнопка «Открыть график»</t>
        </is>
      </c>
      <c r="F75" s="10" t="inlineStr">
        <is>
          <t>Основной</t>
        </is>
      </c>
      <c r="G75" s="10" t="inlineStr"/>
    </row>
    <row r="76">
      <c r="A76" s="9" t="inlineStr">
        <is>
          <t>A6</t>
        </is>
      </c>
      <c r="B76" s="9" t="inlineStr">
        <is>
          <t>Админ — Мастера</t>
        </is>
      </c>
      <c r="C76" s="9" t="inlineStr">
        <is>
          <t>A5</t>
        </is>
      </c>
      <c r="D76" s="9" t="inlineStr">
        <is>
          <t>Админ — Услуги</t>
        </is>
      </c>
      <c r="E76" s="9" t="inlineStr">
        <is>
          <t>Ссылка «Услуги мастера»</t>
        </is>
      </c>
      <c r="F76" s="9" t="inlineStr">
        <is>
          <t>Основной</t>
        </is>
      </c>
      <c r="G76" s="9" t="inlineStr"/>
    </row>
    <row r="77">
      <c r="A77" s="10" t="inlineStr">
        <is>
          <t>A7</t>
        </is>
      </c>
      <c r="B77" s="10" t="inlineStr">
        <is>
          <t>Админ — Графики</t>
        </is>
      </c>
      <c r="C77" s="10" t="inlineStr">
        <is>
          <t>A6</t>
        </is>
      </c>
      <c r="D77" s="10" t="inlineStr">
        <is>
          <t>Админ — Мастера</t>
        </is>
      </c>
      <c r="E77" s="10" t="inlineStr">
        <is>
          <t>Ссылка «Карточка мастера»</t>
        </is>
      </c>
      <c r="F77" s="10" t="inlineStr">
        <is>
          <t>Основной</t>
        </is>
      </c>
      <c r="G77" s="10" t="inlineStr"/>
    </row>
    <row r="78">
      <c r="A78" s="9" t="inlineStr">
        <is>
          <t>A7</t>
        </is>
      </c>
      <c r="B78" s="9" t="inlineStr">
        <is>
          <t>Админ — Графики</t>
        </is>
      </c>
      <c r="C78" s="9" t="inlineStr">
        <is>
          <t>A3</t>
        </is>
      </c>
      <c r="D78" s="9" t="inlineStr">
        <is>
          <t>Админ — Расписание дня</t>
        </is>
      </c>
      <c r="E78" s="9" t="inlineStr">
        <is>
          <t>Ссылка «Показать записи» в конфликте графика</t>
        </is>
      </c>
      <c r="F78" s="9" t="inlineStr">
        <is>
          <t>Ошибка</t>
        </is>
      </c>
      <c r="G78" s="9" t="inlineStr"/>
    </row>
    <row r="79">
      <c r="A79" s="10" t="inlineStr">
        <is>
          <t>A8</t>
        </is>
      </c>
      <c r="B79" s="10" t="inlineStr">
        <is>
          <t>Админ — Клиенты</t>
        </is>
      </c>
      <c r="C79" s="10" t="inlineStr">
        <is>
          <t>A4</t>
        </is>
      </c>
      <c r="D79" s="10" t="inlineStr">
        <is>
          <t>Админ — Записи</t>
        </is>
      </c>
      <c r="E79" s="10" t="inlineStr">
        <is>
          <t>Кнопка «Создать запись» в карточке клиента</t>
        </is>
      </c>
      <c r="F79" s="10" t="inlineStr">
        <is>
          <t>Основной</t>
        </is>
      </c>
      <c r="G79" s="10" t="inlineStr"/>
    </row>
    <row r="80">
      <c r="A80" s="9" t="inlineStr">
        <is>
          <t>A9</t>
        </is>
      </c>
      <c r="B80" s="9" t="inlineStr">
        <is>
          <t>Админ — Аналитика</t>
        </is>
      </c>
      <c r="C80" s="9" t="inlineStr">
        <is>
          <t>A9</t>
        </is>
      </c>
      <c r="D80" s="9" t="inlineStr">
        <is>
          <t>Админ — Аналитика</t>
        </is>
      </c>
      <c r="E80" s="9" t="inlineStr">
        <is>
          <t>Кнопка «Экспорт»</t>
        </is>
      </c>
      <c r="F80" s="9" t="inlineStr">
        <is>
          <t>Основной</t>
        </is>
      </c>
      <c r="G80" s="9" t="inlineStr">
        <is>
          <t>Окно выбора данных и формата CSV</t>
        </is>
      </c>
    </row>
    <row r="81">
      <c r="A81" s="10" t="inlineStr">
        <is>
          <t>A10</t>
        </is>
      </c>
      <c r="B81" s="10" t="inlineStr">
        <is>
          <t>Админ — Роли и доступы</t>
        </is>
      </c>
      <c r="C81" s="10" t="inlineStr">
        <is>
          <t>A6</t>
        </is>
      </c>
      <c r="D81" s="10" t="inlineStr">
        <is>
          <t>Админ — Мастера</t>
        </is>
      </c>
      <c r="E81" s="10" t="inlineStr">
        <is>
          <t>Привязка аккаунта к карточке мастера</t>
        </is>
      </c>
      <c r="F81" s="10" t="inlineStr">
        <is>
          <t>Основной</t>
        </is>
      </c>
      <c r="G81" s="10" t="inlineStr"/>
    </row>
    <row r="82">
      <c r="A82" s="9" t="inlineStr">
        <is>
          <t>A11</t>
        </is>
      </c>
      <c r="B82" s="9" t="inlineStr">
        <is>
          <t>Админ — Настройки</t>
        </is>
      </c>
      <c r="C82" s="9" t="inlineStr">
        <is>
          <t>A2</t>
        </is>
      </c>
      <c r="D82" s="9" t="inlineStr">
        <is>
          <t>Админ — Сегодня</t>
        </is>
      </c>
      <c r="E82" s="9" t="inlineStr">
        <is>
          <t>Кнопка «Сохранить»</t>
        </is>
      </c>
      <c r="F82" s="9" t="inlineStr">
        <is>
          <t>Возврат</t>
        </is>
      </c>
      <c r="G82" s="9" t="inlineStr">
        <is>
          <t>Настройки применяются к будущим записям</t>
        </is>
      </c>
    </row>
    <row r="83">
      <c r="A83" s="10" t="inlineStr">
        <is>
          <t>A2</t>
        </is>
      </c>
      <c r="B83" s="10" t="inlineStr">
        <is>
          <t>Админ — Сегодня</t>
        </is>
      </c>
      <c r="C83" s="10" t="inlineStr">
        <is>
          <t>A3</t>
        </is>
      </c>
      <c r="D83" s="10" t="inlineStr">
        <is>
          <t>Админ — Расписание дня</t>
        </is>
      </c>
      <c r="E83" s="10" t="inlineStr">
        <is>
          <t>Боковое меню «Расписание дня»</t>
        </is>
      </c>
      <c r="F83" s="10" t="inlineStr">
        <is>
          <t>Меню</t>
        </is>
      </c>
      <c r="G83" s="10" t="inlineStr">
        <is>
          <t>Боковое меню одинаково работает на всех экранах панели</t>
        </is>
      </c>
    </row>
    <row r="84">
      <c r="A84" s="9" t="inlineStr">
        <is>
          <t>A3</t>
        </is>
      </c>
      <c r="B84" s="9" t="inlineStr">
        <is>
          <t>Админ — Расписание дня</t>
        </is>
      </c>
      <c r="C84" s="9" t="inlineStr">
        <is>
          <t>A2</t>
        </is>
      </c>
      <c r="D84" s="9" t="inlineStr">
        <is>
          <t>Админ — Сегодня</t>
        </is>
      </c>
      <c r="E84" s="9" t="inlineStr">
        <is>
          <t>Боковое меню «Сегодня»</t>
        </is>
      </c>
      <c r="F84" s="9" t="inlineStr">
        <is>
          <t>Меню</t>
        </is>
      </c>
      <c r="G84" s="9" t="inlineStr">
        <is>
          <t>Боковое меню доступно со всех экранов панели</t>
        </is>
      </c>
    </row>
    <row r="85">
      <c r="A85" s="10" t="inlineStr">
        <is>
          <t>A3</t>
        </is>
      </c>
      <c r="B85" s="10" t="inlineStr">
        <is>
          <t>Админ — Расписание дня</t>
        </is>
      </c>
      <c r="C85" s="10" t="inlineStr">
        <is>
          <t>A1</t>
        </is>
      </c>
      <c r="D85" s="10" t="inlineStr">
        <is>
          <t>Вход администратора</t>
        </is>
      </c>
      <c r="E85" s="10" t="inlineStr">
        <is>
          <t>Кнопка «Выйти»</t>
        </is>
      </c>
      <c r="F85" s="10" t="inlineStr">
        <is>
          <t>Возврат</t>
        </is>
      </c>
      <c r="G85" s="10" t="inlineStr"/>
    </row>
    <row r="86">
      <c r="A86" s="9" t="inlineStr">
        <is>
          <t>A2</t>
        </is>
      </c>
      <c r="B86" s="9" t="inlineStr">
        <is>
          <t>Админ — Сегодня</t>
        </is>
      </c>
      <c r="C86" s="9" t="inlineStr">
        <is>
          <t>A4</t>
        </is>
      </c>
      <c r="D86" s="9" t="inlineStr">
        <is>
          <t>Админ — Записи</t>
        </is>
      </c>
      <c r="E86" s="9" t="inlineStr">
        <is>
          <t>Боковое меню «Записи»</t>
        </is>
      </c>
      <c r="F86" s="9" t="inlineStr">
        <is>
          <t>Меню</t>
        </is>
      </c>
      <c r="G86" s="9" t="inlineStr">
        <is>
          <t>Боковое меню одинаково работает на всех экранах панели</t>
        </is>
      </c>
    </row>
    <row r="87">
      <c r="A87" s="10" t="inlineStr">
        <is>
          <t>A4</t>
        </is>
      </c>
      <c r="B87" s="10" t="inlineStr">
        <is>
          <t>Админ — Записи</t>
        </is>
      </c>
      <c r="C87" s="10" t="inlineStr">
        <is>
          <t>A2</t>
        </is>
      </c>
      <c r="D87" s="10" t="inlineStr">
        <is>
          <t>Админ — Сегодня</t>
        </is>
      </c>
      <c r="E87" s="10" t="inlineStr">
        <is>
          <t>Боковое меню «Сегодня»</t>
        </is>
      </c>
      <c r="F87" s="10" t="inlineStr">
        <is>
          <t>Меню</t>
        </is>
      </c>
      <c r="G87" s="10" t="inlineStr">
        <is>
          <t>Боковое меню доступно со всех экранов панели</t>
        </is>
      </c>
    </row>
    <row r="88">
      <c r="A88" s="9" t="inlineStr">
        <is>
          <t>A4</t>
        </is>
      </c>
      <c r="B88" s="9" t="inlineStr">
        <is>
          <t>Админ — Записи</t>
        </is>
      </c>
      <c r="C88" s="9" t="inlineStr">
        <is>
          <t>A1</t>
        </is>
      </c>
      <c r="D88" s="9" t="inlineStr">
        <is>
          <t>Вход администратора</t>
        </is>
      </c>
      <c r="E88" s="9" t="inlineStr">
        <is>
          <t>Кнопка «Выйти»</t>
        </is>
      </c>
      <c r="F88" s="9" t="inlineStr">
        <is>
          <t>Возврат</t>
        </is>
      </c>
      <c r="G88" s="9" t="inlineStr"/>
    </row>
    <row r="89">
      <c r="A89" s="10" t="inlineStr">
        <is>
          <t>A2</t>
        </is>
      </c>
      <c r="B89" s="10" t="inlineStr">
        <is>
          <t>Админ — Сегодня</t>
        </is>
      </c>
      <c r="C89" s="10" t="inlineStr">
        <is>
          <t>A5</t>
        </is>
      </c>
      <c r="D89" s="10" t="inlineStr">
        <is>
          <t>Админ — Услуги</t>
        </is>
      </c>
      <c r="E89" s="10" t="inlineStr">
        <is>
          <t>Боковое меню «Услуги»</t>
        </is>
      </c>
      <c r="F89" s="10" t="inlineStr">
        <is>
          <t>Меню</t>
        </is>
      </c>
      <c r="G89" s="10" t="inlineStr">
        <is>
          <t>Боковое меню одинаково работает на всех экранах панели</t>
        </is>
      </c>
    </row>
    <row r="90">
      <c r="A90" s="9" t="inlineStr">
        <is>
          <t>A5</t>
        </is>
      </c>
      <c r="B90" s="9" t="inlineStr">
        <is>
          <t>Админ — Услуги</t>
        </is>
      </c>
      <c r="C90" s="9" t="inlineStr">
        <is>
          <t>A2</t>
        </is>
      </c>
      <c r="D90" s="9" t="inlineStr">
        <is>
          <t>Админ — Сегодня</t>
        </is>
      </c>
      <c r="E90" s="9" t="inlineStr">
        <is>
          <t>Боковое меню «Сегодня»</t>
        </is>
      </c>
      <c r="F90" s="9" t="inlineStr">
        <is>
          <t>Меню</t>
        </is>
      </c>
      <c r="G90" s="9" t="inlineStr">
        <is>
          <t>Боковое меню доступно со всех экранов панели</t>
        </is>
      </c>
    </row>
    <row r="91">
      <c r="A91" s="10" t="inlineStr">
        <is>
          <t>A5</t>
        </is>
      </c>
      <c r="B91" s="10" t="inlineStr">
        <is>
          <t>Админ — Услуги</t>
        </is>
      </c>
      <c r="C91" s="10" t="inlineStr">
        <is>
          <t>A1</t>
        </is>
      </c>
      <c r="D91" s="10" t="inlineStr">
        <is>
          <t>Вход администратора</t>
        </is>
      </c>
      <c r="E91" s="10" t="inlineStr">
        <is>
          <t>Кнопка «Выйти»</t>
        </is>
      </c>
      <c r="F91" s="10" t="inlineStr">
        <is>
          <t>Возврат</t>
        </is>
      </c>
      <c r="G91" s="10" t="inlineStr"/>
    </row>
    <row r="92">
      <c r="A92" s="9" t="inlineStr">
        <is>
          <t>A2</t>
        </is>
      </c>
      <c r="B92" s="9" t="inlineStr">
        <is>
          <t>Админ — Сегодня</t>
        </is>
      </c>
      <c r="C92" s="9" t="inlineStr">
        <is>
          <t>A6</t>
        </is>
      </c>
      <c r="D92" s="9" t="inlineStr">
        <is>
          <t>Админ — Мастера</t>
        </is>
      </c>
      <c r="E92" s="9" t="inlineStr">
        <is>
          <t>Боковое меню «Мастера»</t>
        </is>
      </c>
      <c r="F92" s="9" t="inlineStr">
        <is>
          <t>Меню</t>
        </is>
      </c>
      <c r="G92" s="9" t="inlineStr">
        <is>
          <t>Боковое меню одинаково работает на всех экранах панели</t>
        </is>
      </c>
    </row>
    <row r="93">
      <c r="A93" s="10" t="inlineStr">
        <is>
          <t>A6</t>
        </is>
      </c>
      <c r="B93" s="10" t="inlineStr">
        <is>
          <t>Админ — Мастера</t>
        </is>
      </c>
      <c r="C93" s="10" t="inlineStr">
        <is>
          <t>A2</t>
        </is>
      </c>
      <c r="D93" s="10" t="inlineStr">
        <is>
          <t>Админ — Сегодня</t>
        </is>
      </c>
      <c r="E93" s="10" t="inlineStr">
        <is>
          <t>Боковое меню «Сегодня»</t>
        </is>
      </c>
      <c r="F93" s="10" t="inlineStr">
        <is>
          <t>Меню</t>
        </is>
      </c>
      <c r="G93" s="10" t="inlineStr">
        <is>
          <t>Боковое меню доступно со всех экранов панели</t>
        </is>
      </c>
    </row>
    <row r="94">
      <c r="A94" s="9" t="inlineStr">
        <is>
          <t>A6</t>
        </is>
      </c>
      <c r="B94" s="9" t="inlineStr">
        <is>
          <t>Админ — Мастера</t>
        </is>
      </c>
      <c r="C94" s="9" t="inlineStr">
        <is>
          <t>A1</t>
        </is>
      </c>
      <c r="D94" s="9" t="inlineStr">
        <is>
          <t>Вход администратора</t>
        </is>
      </c>
      <c r="E94" s="9" t="inlineStr">
        <is>
          <t>Кнопка «Выйти»</t>
        </is>
      </c>
      <c r="F94" s="9" t="inlineStr">
        <is>
          <t>Возврат</t>
        </is>
      </c>
      <c r="G94" s="9" t="inlineStr"/>
    </row>
    <row r="95">
      <c r="A95" s="10" t="inlineStr">
        <is>
          <t>A2</t>
        </is>
      </c>
      <c r="B95" s="10" t="inlineStr">
        <is>
          <t>Админ — Сегодня</t>
        </is>
      </c>
      <c r="C95" s="10" t="inlineStr">
        <is>
          <t>A7</t>
        </is>
      </c>
      <c r="D95" s="10" t="inlineStr">
        <is>
          <t>Админ — Графики</t>
        </is>
      </c>
      <c r="E95" s="10" t="inlineStr">
        <is>
          <t>Боковое меню «Графики»</t>
        </is>
      </c>
      <c r="F95" s="10" t="inlineStr">
        <is>
          <t>Меню</t>
        </is>
      </c>
      <c r="G95" s="10" t="inlineStr">
        <is>
          <t>Боковое меню одинаково работает на всех экранах панели</t>
        </is>
      </c>
    </row>
    <row r="96">
      <c r="A96" s="9" t="inlineStr">
        <is>
          <t>A7</t>
        </is>
      </c>
      <c r="B96" s="9" t="inlineStr">
        <is>
          <t>Админ — Графики</t>
        </is>
      </c>
      <c r="C96" s="9" t="inlineStr">
        <is>
          <t>A2</t>
        </is>
      </c>
      <c r="D96" s="9" t="inlineStr">
        <is>
          <t>Админ — Сегодня</t>
        </is>
      </c>
      <c r="E96" s="9" t="inlineStr">
        <is>
          <t>Боковое меню «Сегодня»</t>
        </is>
      </c>
      <c r="F96" s="9" t="inlineStr">
        <is>
          <t>Меню</t>
        </is>
      </c>
      <c r="G96" s="9" t="inlineStr">
        <is>
          <t>Боковое меню доступно со всех экранов панели</t>
        </is>
      </c>
    </row>
    <row r="97">
      <c r="A97" s="10" t="inlineStr">
        <is>
          <t>A7</t>
        </is>
      </c>
      <c r="B97" s="10" t="inlineStr">
        <is>
          <t>Админ — Графики</t>
        </is>
      </c>
      <c r="C97" s="10" t="inlineStr">
        <is>
          <t>A1</t>
        </is>
      </c>
      <c r="D97" s="10" t="inlineStr">
        <is>
          <t>Вход администратора</t>
        </is>
      </c>
      <c r="E97" s="10" t="inlineStr">
        <is>
          <t>Кнопка «Выйти»</t>
        </is>
      </c>
      <c r="F97" s="10" t="inlineStr">
        <is>
          <t>Возврат</t>
        </is>
      </c>
      <c r="G97" s="10" t="inlineStr"/>
    </row>
    <row r="98">
      <c r="A98" s="9" t="inlineStr">
        <is>
          <t>A2</t>
        </is>
      </c>
      <c r="B98" s="9" t="inlineStr">
        <is>
          <t>Админ — Сегодня</t>
        </is>
      </c>
      <c r="C98" s="9" t="inlineStr">
        <is>
          <t>A8</t>
        </is>
      </c>
      <c r="D98" s="9" t="inlineStr">
        <is>
          <t>Админ — Клиенты</t>
        </is>
      </c>
      <c r="E98" s="9" t="inlineStr">
        <is>
          <t>Боковое меню «Клиенты»</t>
        </is>
      </c>
      <c r="F98" s="9" t="inlineStr">
        <is>
          <t>Меню</t>
        </is>
      </c>
      <c r="G98" s="9" t="inlineStr">
        <is>
          <t>Боковое меню одинаково работает на всех экранах панели</t>
        </is>
      </c>
    </row>
    <row r="99">
      <c r="A99" s="10" t="inlineStr">
        <is>
          <t>A8</t>
        </is>
      </c>
      <c r="B99" s="10" t="inlineStr">
        <is>
          <t>Админ — Клиенты</t>
        </is>
      </c>
      <c r="C99" s="10" t="inlineStr">
        <is>
          <t>A2</t>
        </is>
      </c>
      <c r="D99" s="10" t="inlineStr">
        <is>
          <t>Админ — Сегодня</t>
        </is>
      </c>
      <c r="E99" s="10" t="inlineStr">
        <is>
          <t>Боковое меню «Сегодня»</t>
        </is>
      </c>
      <c r="F99" s="10" t="inlineStr">
        <is>
          <t>Меню</t>
        </is>
      </c>
      <c r="G99" s="10" t="inlineStr">
        <is>
          <t>Боковое меню доступно со всех экранов панели</t>
        </is>
      </c>
    </row>
    <row r="100">
      <c r="A100" s="9" t="inlineStr">
        <is>
          <t>A8</t>
        </is>
      </c>
      <c r="B100" s="9" t="inlineStr">
        <is>
          <t>Админ — Клиенты</t>
        </is>
      </c>
      <c r="C100" s="9" t="inlineStr">
        <is>
          <t>A1</t>
        </is>
      </c>
      <c r="D100" s="9" t="inlineStr">
        <is>
          <t>Вход администратора</t>
        </is>
      </c>
      <c r="E100" s="9" t="inlineStr">
        <is>
          <t>Кнопка «Выйти»</t>
        </is>
      </c>
      <c r="F100" s="9" t="inlineStr">
        <is>
          <t>Возврат</t>
        </is>
      </c>
      <c r="G100" s="9" t="inlineStr"/>
    </row>
    <row r="101">
      <c r="A101" s="10" t="inlineStr">
        <is>
          <t>A2</t>
        </is>
      </c>
      <c r="B101" s="10" t="inlineStr">
        <is>
          <t>Админ — Сегодня</t>
        </is>
      </c>
      <c r="C101" s="10" t="inlineStr">
        <is>
          <t>A9</t>
        </is>
      </c>
      <c r="D101" s="10" t="inlineStr">
        <is>
          <t>Админ — Аналитика</t>
        </is>
      </c>
      <c r="E101" s="10" t="inlineStr">
        <is>
          <t>Боковое меню «Аналитика»</t>
        </is>
      </c>
      <c r="F101" s="10" t="inlineStr">
        <is>
          <t>Меню</t>
        </is>
      </c>
      <c r="G101" s="10" t="inlineStr">
        <is>
          <t>Боковое меню одинаково работает на всех экранах панели</t>
        </is>
      </c>
    </row>
    <row r="102">
      <c r="A102" s="9" t="inlineStr">
        <is>
          <t>A9</t>
        </is>
      </c>
      <c r="B102" s="9" t="inlineStr">
        <is>
          <t>Админ — Аналитика</t>
        </is>
      </c>
      <c r="C102" s="9" t="inlineStr">
        <is>
          <t>A2</t>
        </is>
      </c>
      <c r="D102" s="9" t="inlineStr">
        <is>
          <t>Админ — Сегодня</t>
        </is>
      </c>
      <c r="E102" s="9" t="inlineStr">
        <is>
          <t>Боковое меню «Сегодня»</t>
        </is>
      </c>
      <c r="F102" s="9" t="inlineStr">
        <is>
          <t>Меню</t>
        </is>
      </c>
      <c r="G102" s="9" t="inlineStr">
        <is>
          <t>Боковое меню доступно со всех экранов панели</t>
        </is>
      </c>
    </row>
    <row r="103">
      <c r="A103" s="10" t="inlineStr">
        <is>
          <t>A9</t>
        </is>
      </c>
      <c r="B103" s="10" t="inlineStr">
        <is>
          <t>Админ — Аналитика</t>
        </is>
      </c>
      <c r="C103" s="10" t="inlineStr">
        <is>
          <t>A1</t>
        </is>
      </c>
      <c r="D103" s="10" t="inlineStr">
        <is>
          <t>Вход администратора</t>
        </is>
      </c>
      <c r="E103" s="10" t="inlineStr">
        <is>
          <t>Кнопка «Выйти»</t>
        </is>
      </c>
      <c r="F103" s="10" t="inlineStr">
        <is>
          <t>Возврат</t>
        </is>
      </c>
      <c r="G103" s="10" t="inlineStr"/>
    </row>
    <row r="104">
      <c r="A104" s="9" t="inlineStr">
        <is>
          <t>A2</t>
        </is>
      </c>
      <c r="B104" s="9" t="inlineStr">
        <is>
          <t>Админ — Сегодня</t>
        </is>
      </c>
      <c r="C104" s="9" t="inlineStr">
        <is>
          <t>A10</t>
        </is>
      </c>
      <c r="D104" s="9" t="inlineStr">
        <is>
          <t>Админ — Роли и доступы</t>
        </is>
      </c>
      <c r="E104" s="9" t="inlineStr">
        <is>
          <t>Боковое меню «Роли и доступы»</t>
        </is>
      </c>
      <c r="F104" s="9" t="inlineStr">
        <is>
          <t>Меню</t>
        </is>
      </c>
      <c r="G104" s="9" t="inlineStr">
        <is>
          <t>Боковое меню одинаково работает на всех экранах панели</t>
        </is>
      </c>
    </row>
    <row r="105">
      <c r="A105" s="10" t="inlineStr">
        <is>
          <t>A10</t>
        </is>
      </c>
      <c r="B105" s="10" t="inlineStr">
        <is>
          <t>Админ — Роли и доступы</t>
        </is>
      </c>
      <c r="C105" s="10" t="inlineStr">
        <is>
          <t>A2</t>
        </is>
      </c>
      <c r="D105" s="10" t="inlineStr">
        <is>
          <t>Админ — Сегодня</t>
        </is>
      </c>
      <c r="E105" s="10" t="inlineStr">
        <is>
          <t>Боковое меню «Сегодня»</t>
        </is>
      </c>
      <c r="F105" s="10" t="inlineStr">
        <is>
          <t>Меню</t>
        </is>
      </c>
      <c r="G105" s="10" t="inlineStr">
        <is>
          <t>Боковое меню доступно со всех экранов панели</t>
        </is>
      </c>
    </row>
    <row r="106">
      <c r="A106" s="9" t="inlineStr">
        <is>
          <t>A10</t>
        </is>
      </c>
      <c r="B106" s="9" t="inlineStr">
        <is>
          <t>Админ — Роли и доступы</t>
        </is>
      </c>
      <c r="C106" s="9" t="inlineStr">
        <is>
          <t>A1</t>
        </is>
      </c>
      <c r="D106" s="9" t="inlineStr">
        <is>
          <t>Вход администратора</t>
        </is>
      </c>
      <c r="E106" s="9" t="inlineStr">
        <is>
          <t>Кнопка «Выйти»</t>
        </is>
      </c>
      <c r="F106" s="9" t="inlineStr">
        <is>
          <t>Возврат</t>
        </is>
      </c>
      <c r="G106" s="9" t="inlineStr"/>
    </row>
    <row r="107">
      <c r="A107" s="10" t="inlineStr">
        <is>
          <t>A2</t>
        </is>
      </c>
      <c r="B107" s="10" t="inlineStr">
        <is>
          <t>Админ — Сегодня</t>
        </is>
      </c>
      <c r="C107" s="10" t="inlineStr">
        <is>
          <t>A11</t>
        </is>
      </c>
      <c r="D107" s="10" t="inlineStr">
        <is>
          <t>Админ — Настройки</t>
        </is>
      </c>
      <c r="E107" s="10" t="inlineStr">
        <is>
          <t>Боковое меню «Настройки»</t>
        </is>
      </c>
      <c r="F107" s="10" t="inlineStr">
        <is>
          <t>Меню</t>
        </is>
      </c>
      <c r="G107" s="10" t="inlineStr">
        <is>
          <t>Боковое меню одинаково работает на всех экранах панели</t>
        </is>
      </c>
    </row>
    <row r="108">
      <c r="A108" s="9" t="inlineStr">
        <is>
          <t>A11</t>
        </is>
      </c>
      <c r="B108" s="9" t="inlineStr">
        <is>
          <t>Админ — Настройки</t>
        </is>
      </c>
      <c r="C108" s="9" t="inlineStr">
        <is>
          <t>A2</t>
        </is>
      </c>
      <c r="D108" s="9" t="inlineStr">
        <is>
          <t>Админ — Сегодня</t>
        </is>
      </c>
      <c r="E108" s="9" t="inlineStr">
        <is>
          <t>Боковое меню «Сегодня»</t>
        </is>
      </c>
      <c r="F108" s="9" t="inlineStr">
        <is>
          <t>Меню</t>
        </is>
      </c>
      <c r="G108" s="9" t="inlineStr">
        <is>
          <t>Боковое меню доступно со всех экранов панели</t>
        </is>
      </c>
    </row>
    <row r="109">
      <c r="A109" s="10" t="inlineStr">
        <is>
          <t>A11</t>
        </is>
      </c>
      <c r="B109" s="10" t="inlineStr">
        <is>
          <t>Админ — Настройки</t>
        </is>
      </c>
      <c r="C109" s="10" t="inlineStr">
        <is>
          <t>A1</t>
        </is>
      </c>
      <c r="D109" s="10" t="inlineStr">
        <is>
          <t>Вход администратора</t>
        </is>
      </c>
      <c r="E109" s="10" t="inlineStr">
        <is>
          <t>Кнопка «Выйти»</t>
        </is>
      </c>
      <c r="F109" s="10" t="inlineStr">
        <is>
          <t>Возврат</t>
        </is>
      </c>
      <c r="G109" s="10" t="inlineStr"/>
    </row>
  </sheetData>
  <autoFilter ref="A1:G109"/>
  <dataValidations count="1">
    <dataValidation sqref="F2:F109" showDropDown="0" showInputMessage="0" showErrorMessage="0" allowBlank="1" type="list">
      <formula1>"Основной,Возврат,Меню,Ошибка"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54" customWidth="1" min="4" max="4"/>
    <col width="16" customWidth="1" min="5" max="5"/>
  </cols>
  <sheetData>
    <row r="1" ht="30" customHeight="1">
      <c r="A1" s="8" t="inlineStr">
        <is>
          <t>Этап</t>
        </is>
      </c>
      <c r="B1" s="8" t="inlineStr">
        <is>
          <t>Что связываем</t>
        </is>
      </c>
      <c r="C1" s="8" t="inlineStr">
        <is>
          <t>Экраны</t>
        </is>
      </c>
      <c r="D1" s="8" t="inlineStr">
        <is>
          <t>На что смотреть при проверке</t>
        </is>
      </c>
      <c r="E1" s="8" t="inlineStr">
        <is>
          <t>Статус</t>
        </is>
      </c>
    </row>
    <row r="2">
      <c r="A2" s="9" t="n">
        <v>1</v>
      </c>
      <c r="B2" s="9" t="inlineStr">
        <is>
          <t>Оболочки и глобальная навигация</t>
        </is>
      </c>
      <c r="C2" s="9" t="inlineStr">
        <is>
          <t>Все экраны</t>
        </is>
      </c>
      <c r="D2" s="9" t="inlineStr">
        <is>
          <t>Единое поведение меню внутри каждой роли, подсветка активного пункта</t>
        </is>
      </c>
      <c r="E2" s="9" t="inlineStr">
        <is>
          <t>Не начат</t>
        </is>
      </c>
    </row>
    <row r="3">
      <c r="A3" s="10" t="n">
        <v>2</v>
      </c>
      <c r="B3" s="10" t="inlineStr">
        <is>
          <t>Путь записи клиента</t>
        </is>
      </c>
      <c r="C3" s="10" t="inlineStr">
        <is>
          <t>L1, B1–B6</t>
        </is>
      </c>
      <c r="D3" s="10" t="inlineStr">
        <is>
          <t>Шаги вперёд и назад, сохранение выбора, входы с лендинга</t>
        </is>
      </c>
      <c r="E3" s="10" t="inlineStr">
        <is>
          <t>Не начат</t>
        </is>
      </c>
    </row>
    <row r="4">
      <c r="A4" s="9" t="n">
        <v>3</v>
      </c>
      <c r="B4" s="9" t="inlineStr">
        <is>
          <t>Авторизация и восстановление пароля</t>
        </is>
      </c>
      <c r="C4" s="9" t="inlineStr">
        <is>
          <t>C1–C4, B4</t>
        </is>
      </c>
      <c r="D4" s="9" t="inlineStr">
        <is>
          <t>Возврат туда, откуда пришёл пользователь; сохранение резерва</t>
        </is>
      </c>
      <c r="E4" s="9" t="inlineStr">
        <is>
          <t>Не начат</t>
        </is>
      </c>
    </row>
    <row r="5">
      <c r="A5" s="10" t="n">
        <v>4</v>
      </c>
      <c r="B5" s="10" t="inlineStr">
        <is>
          <t>Личный кабинет клиента</t>
        </is>
      </c>
      <c r="C5" s="10" t="inlineStr">
        <is>
          <t>K1–K5</t>
        </is>
      </c>
      <c r="D5" s="10" t="inlineStr">
        <is>
          <t>Отмена, перенос, история, уведомления, выход</t>
        </is>
      </c>
      <c r="E5" s="10" t="inlineStr">
        <is>
          <t>Не начат</t>
        </is>
      </c>
    </row>
    <row r="6">
      <c r="A6" s="9" t="n">
        <v>5</v>
      </c>
      <c r="B6" s="9" t="inlineStr">
        <is>
          <t>Состояния ошибок клиента</t>
        </is>
      </c>
      <c r="C6" s="9" t="inlineStr">
        <is>
          <t>B3, B5, C4, K1</t>
        </is>
      </c>
      <c r="D6" s="9" t="inlineStr">
        <is>
          <t>Из каждой ошибки есть путь к действию</t>
        </is>
      </c>
      <c r="E6" s="9" t="inlineStr">
        <is>
          <t>Не начат</t>
        </is>
      </c>
    </row>
    <row r="7">
      <c r="A7" s="10" t="n">
        <v>6</v>
      </c>
      <c r="B7" s="10" t="inlineStr">
        <is>
          <t>Кабинет мастера</t>
        </is>
      </c>
      <c r="C7" s="10" t="inlineStr">
        <is>
          <t>M1–M4</t>
        </is>
      </c>
      <c r="D7" s="10" t="inlineStr">
        <is>
          <t>Свой день, расписание, профиль; нет доступа к чужим записям</t>
        </is>
      </c>
      <c r="E7" s="10" t="inlineStr">
        <is>
          <t>Не начат</t>
        </is>
      </c>
    </row>
    <row r="8">
      <c r="A8" s="9" t="n">
        <v>7</v>
      </c>
      <c r="B8" s="9" t="inlineStr">
        <is>
          <t>Админ-панель</t>
        </is>
      </c>
      <c r="C8" s="9" t="inlineStr">
        <is>
          <t>A1–A11</t>
        </is>
      </c>
      <c r="D8" s="9" t="inlineStr">
        <is>
          <t>Боковое меню, панели деталей, модальные окна, экспорт</t>
        </is>
      </c>
      <c r="E8" s="9" t="inlineStr">
        <is>
          <t>Не начат</t>
        </is>
      </c>
    </row>
    <row r="9">
      <c r="A9" s="10" t="n">
        <v>8</v>
      </c>
      <c r="B9" s="10" t="inlineStr">
        <is>
          <t>Аудит связей</t>
        </is>
      </c>
      <c r="C9" s="10" t="inlineStr">
        <is>
          <t>Все экраны</t>
        </is>
      </c>
      <c r="D9" s="10" t="inlineStr">
        <is>
          <t>Поиск недостижимых экранов, тупиков, разрывов возврата и нарушений прав</t>
        </is>
      </c>
      <c r="E9" s="10" t="inlineStr">
        <is>
          <t>Не начат</t>
        </is>
      </c>
    </row>
  </sheetData>
  <autoFilter ref="A1:E9"/>
  <dataValidations count="1">
    <dataValidation sqref="E2:E9" showDropDown="0" showInputMessage="0" showErrorMessage="0" allowBlank="1" type="list">
      <formula1>"Не начат,В работе,Готово,Есть замечания"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2026-09-18T10:20:00Z</dcterms:created>
  <dcterms:modified xsi:type="dcterms:W3CDTF">2026-09-18T10:20:00Z</dcterms:modified>
</cp:coreProperties>
</file>